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P\Downloads\03 - Proyecto Gestion de Paros y Mantenimiento Django\Proyecto Gestion de Paros y Mantenimiento Django PostgreSQL 2026-05-17 Test\Project\mto_app\static\mto_app\"/>
    </mc:Choice>
  </mc:AlternateContent>
  <bookViews>
    <workbookView xWindow="-108" yWindow="-108" windowWidth="23256" windowHeight="12456" activeTab="1"/>
  </bookViews>
  <sheets>
    <sheet name="01" sheetId="1" r:id="rId1"/>
    <sheet name="Portada 1" sheetId="182" r:id="rId2"/>
    <sheet name="Portada 2" sheetId="18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1__123Graph_AGRAFICO_1" hidden="1">[1]A!$AD$4:$AP$4</definedName>
    <definedName name="_10__123Graph_BGRAFICO_2" hidden="1">[1]A!$AA$16:$AL$16</definedName>
    <definedName name="_11__123Graph_BGRAFICO_3" hidden="1">[1]A!$AA$34:$AW$34</definedName>
    <definedName name="_12__123Graph_BGRAFICO_4" hidden="1">[1]A!$B$40:$G$40</definedName>
    <definedName name="_13__123Graph_BGRAFICO_5" hidden="1">[1]A!$Z$47:$AL$47</definedName>
    <definedName name="_14__123Graph_BGRAFICO_6" hidden="1">[1]A!$B$54:$G$54</definedName>
    <definedName name="_15__123Graph_CGRAFICO_1" hidden="1">[1]A!$AD$5:$AP$5</definedName>
    <definedName name="_16__123Graph_CGRáFICO_1" hidden="1">[1]A!$D$125:$I$125</definedName>
    <definedName name="_17__123Graph_CGRAFICO_2" hidden="1">[1]A!$AA$18:$AL$18</definedName>
    <definedName name="_18__123Graph_CGRAFICO_3" hidden="1">[1]A!$AA$35:$AW$35</definedName>
    <definedName name="_19__123Graph_CGRAFICO_5" hidden="1">[1]A!$Z$49:$AL$49</definedName>
    <definedName name="_2__123Graph_AGRáFICO_1" hidden="1">[1]A!$D$123:$I$123</definedName>
    <definedName name="_20__123Graph_CGRAFICO_6" hidden="1">[1]A!$B$55:$G$55</definedName>
    <definedName name="_21__123Graph_DGRAFICO_1" hidden="1">[1]A!$AD$8:$AP$8</definedName>
    <definedName name="_22__123Graph_DGRAFICO_2" hidden="1">[1]A!$AA$22:$AL$22</definedName>
    <definedName name="_23__123Graph_EGRAFICO_1" hidden="1">[1]A!$AD$9:$AP$9</definedName>
    <definedName name="_24__123Graph_EGRAFICO_2" hidden="1">[1]A!$AA$26:$AL$26</definedName>
    <definedName name="_25__123Graph_FGRAFICO_2" hidden="1">[1]A!$AA$24:$AL$24</definedName>
    <definedName name="_26__123Graph_XGRAFICO_1" hidden="1">[1]A!$AD$3:$AP$3</definedName>
    <definedName name="_27__123Graph_XGRáFICO_1" hidden="1">[1]A!$D$122:$I$122</definedName>
    <definedName name="_28__123Graph_XGRAFICO_2" hidden="1">[1]A!$AA$12:$AL$12</definedName>
    <definedName name="_29__123Graph_XGRAFICO_3" hidden="1">[1]A!$AA$30:$AW$30</definedName>
    <definedName name="_3__123Graph_AGRAFICO_2" hidden="1">[1]A!$AA$14:$AL$14</definedName>
    <definedName name="_30__123Graph_XGRAFICO_4" hidden="1">[1]A!$B$38:$G$38</definedName>
    <definedName name="_31__123Graph_XGRAFICO_5" hidden="1">[1]A!$Z$43:$AL$43</definedName>
    <definedName name="_32__123Graph_XGRAFICO_6" hidden="1">[1]A!$D$52:$G$52</definedName>
    <definedName name="_4__123Graph_AGRAFICO_3" hidden="1">[1]A!$AA$33:$AW$33</definedName>
    <definedName name="_5__123Graph_AGRAFICO_4" hidden="1">[1]A!$B$39:$G$39</definedName>
    <definedName name="_6__123Graph_AGRAFICO_5" hidden="1">[1]A!$Z$45:$AL$45</definedName>
    <definedName name="_7__123Graph_AGRAFICO_6" hidden="1">[1]A!$B$53:$G$53</definedName>
    <definedName name="_8__123Graph_BGRAFICO_1" hidden="1">[1]A!$AD$7:$AP$7</definedName>
    <definedName name="_9__123Graph_BGRáFICO_1" hidden="1">[1]A!$D$124:$I$124</definedName>
    <definedName name="_DAT1">[2]ZPPMC!#REF!</definedName>
    <definedName name="_DAT10">[2]ZPPMC!#REF!</definedName>
    <definedName name="_DAT11">[2]ZPPMC!#REF!</definedName>
    <definedName name="_DAT12">[2]ZPPMC!#REF!</definedName>
    <definedName name="_DAT13">[2]ZPPMC!#REF!</definedName>
    <definedName name="_DAT14">[2]QUERY!#REF!</definedName>
    <definedName name="_DAT15">[2]QUERY!#REF!</definedName>
    <definedName name="_DAT16">[2]QUERY!#REF!</definedName>
    <definedName name="_DAT17">[2]QUERY!#REF!</definedName>
    <definedName name="_DAT19">[2]QUERY!#REF!</definedName>
    <definedName name="_DAT2">[2]ZPPMC!#REF!</definedName>
    <definedName name="_DAT21">[2]QUERY!#REF!</definedName>
    <definedName name="_DAT22">[2]QUERY!#REF!</definedName>
    <definedName name="_DAT23">[2]QUERY!#REF!</definedName>
    <definedName name="_DAT3">[2]ZPPMC!#REF!</definedName>
    <definedName name="_DAT4">[2]ZPPMC!#REF!</definedName>
    <definedName name="_DAT5">[2]ZPPMC!#REF!</definedName>
    <definedName name="_DAT6">[2]ZPPMC!#REF!</definedName>
    <definedName name="_DAT7">[2]ZPPMC!#REF!</definedName>
    <definedName name="_DAT8">[2]ZPPMC!#REF!</definedName>
    <definedName name="_DAT9">[2]ZPPMC!#REF!</definedName>
    <definedName name="_PH1">'[3]Synthesis database'!$AC$1</definedName>
    <definedName name="_PH2">'[3]Synthesis database'!$AD$1</definedName>
    <definedName name="_PH3">'[3]Synthesis database'!$AE$1</definedName>
    <definedName name="_xlnm.Print_Area">#REF!</definedName>
    <definedName name="BASE">'[3]Synthesis database'!#REF!</definedName>
    <definedName name="BOM">OFFSET([4]BOM!$B$3,1,0,COUNTA([4]BOM!$B:$B)-1,5)</definedName>
    <definedName name="calculo">[5]Hoja1!$B$1:$B$3</definedName>
    <definedName name="calibracion">#REF!</definedName>
    <definedName name="CST">'[3]Synthesis database'!$C$1</definedName>
    <definedName name="Customer">[3]Synthesis!$C$7</definedName>
    <definedName name="DATA1">#REF!</definedName>
    <definedName name="DATA10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3">#REF!</definedName>
    <definedName name="DATA130">#REF!</definedName>
    <definedName name="DATA131">#REF!</definedName>
    <definedName name="DATA132">#REF!</definedName>
    <definedName name="DATA133">#REF!</definedName>
    <definedName name="DATA134">#REF!</definedName>
    <definedName name="DATA135">#REF!</definedName>
    <definedName name="DATA136">#REF!</definedName>
    <definedName name="DATA137">#REF!</definedName>
    <definedName name="DATA138">#REF!</definedName>
    <definedName name="DATA139">#REF!</definedName>
    <definedName name="DATA14">#REF!</definedName>
    <definedName name="DATA140">#REF!</definedName>
    <definedName name="DATA141">#REF!</definedName>
    <definedName name="DATA142">#REF!</definedName>
    <definedName name="DATA143">#REF!</definedName>
    <definedName name="DATA144">#REF!</definedName>
    <definedName name="DATA145">#REF!</definedName>
    <definedName name="DATA146">#REF!</definedName>
    <definedName name="DATA147">#REF!</definedName>
    <definedName name="DATA148">#REF!</definedName>
    <definedName name="DATA149">#REF!</definedName>
    <definedName name="DATA15">#REF!</definedName>
    <definedName name="DATA150">#REF!</definedName>
    <definedName name="DATA151">#REF!</definedName>
    <definedName name="DATA152">#REF!</definedName>
    <definedName name="DATA153">#REF!</definedName>
    <definedName name="DATA154">#REF!</definedName>
    <definedName name="DATA155">#REF!</definedName>
    <definedName name="DATA156">#REF!</definedName>
    <definedName name="DATA157">#REF!</definedName>
    <definedName name="DATA158">#REF!</definedName>
    <definedName name="DATA159">#REF!</definedName>
    <definedName name="DATA16">#REF!</definedName>
    <definedName name="DATA160">#REF!</definedName>
    <definedName name="DATA161">#REF!</definedName>
    <definedName name="DATA162">#REF!</definedName>
    <definedName name="DATA163">#REF!</definedName>
    <definedName name="DATA164">#REF!</definedName>
    <definedName name="DATA165">#REF!</definedName>
    <definedName name="DATA166">#REF!</definedName>
    <definedName name="DATA167">#REF!</definedName>
    <definedName name="DATA168">#REF!</definedName>
    <definedName name="DATA169">#REF!</definedName>
    <definedName name="DATA17">#REF!</definedName>
    <definedName name="DATA170">#REF!</definedName>
    <definedName name="DATA171">#REF!</definedName>
    <definedName name="DATA172">#REF!</definedName>
    <definedName name="DATA173">#REF!</definedName>
    <definedName name="DATA174">#REF!</definedName>
    <definedName name="DATA175">#REF!</definedName>
    <definedName name="DATA176">#REF!</definedName>
    <definedName name="DATA177">#REF!</definedName>
    <definedName name="DATA178">#REF!</definedName>
    <definedName name="DATA179">#REF!</definedName>
    <definedName name="DATA18">#REF!</definedName>
    <definedName name="DATA180">#REF!</definedName>
    <definedName name="DATA181">#REF!</definedName>
    <definedName name="DATA182">#REF!</definedName>
    <definedName name="DATA183">#REF!</definedName>
    <definedName name="DATA184">#REF!</definedName>
    <definedName name="DATA185">#REF!</definedName>
    <definedName name="DATA186">#REF!</definedName>
    <definedName name="DATA187">#REF!</definedName>
    <definedName name="DATA188">#REF!</definedName>
    <definedName name="DATA189">#REF!</definedName>
    <definedName name="DATA19">#REF!</definedName>
    <definedName name="DATA190">#REF!</definedName>
    <definedName name="DATA191">#REF!</definedName>
    <definedName name="DATA192">#REF!</definedName>
    <definedName name="DATA193">#REF!</definedName>
    <definedName name="DATA194">#REF!</definedName>
    <definedName name="DATA195">#REF!</definedName>
    <definedName name="DATA196">#REF!</definedName>
    <definedName name="DATA197">#REF!</definedName>
    <definedName name="DATA198">#REF!</definedName>
    <definedName name="DATA199">#REF!</definedName>
    <definedName name="DATA2">#REF!</definedName>
    <definedName name="DATA20">#REF!</definedName>
    <definedName name="DATA200">#REF!</definedName>
    <definedName name="DATA201">#REF!</definedName>
    <definedName name="DATA202">#REF!</definedName>
    <definedName name="DATA203">#REF!</definedName>
    <definedName name="DATA204">#REF!</definedName>
    <definedName name="DATA205">#REF!</definedName>
    <definedName name="DATA206">#REF!</definedName>
    <definedName name="DATA207">#REF!</definedName>
    <definedName name="DATA208">#REF!</definedName>
    <definedName name="DATA209">#REF!</definedName>
    <definedName name="DATA21">#REF!</definedName>
    <definedName name="DATA210">#REF!</definedName>
    <definedName name="DATA211">#REF!</definedName>
    <definedName name="DATA212">#REF!</definedName>
    <definedName name="DATA213">#REF!</definedName>
    <definedName name="DATA214">#REF!</definedName>
    <definedName name="DATA215">#REF!</definedName>
    <definedName name="DATA216">#REF!</definedName>
    <definedName name="DATA217">#REF!</definedName>
    <definedName name="DATA218">#REF!</definedName>
    <definedName name="DATA219">#REF!</definedName>
    <definedName name="DATA22">#REF!</definedName>
    <definedName name="DATA220">#REF!</definedName>
    <definedName name="DATA221">#REF!</definedName>
    <definedName name="DATA222">#REF!</definedName>
    <definedName name="DATA223">#REF!</definedName>
    <definedName name="DATA224">#REF!</definedName>
    <definedName name="DATA225">#REF!</definedName>
    <definedName name="DATA226">#REF!</definedName>
    <definedName name="DATA227">#REF!</definedName>
    <definedName name="DATA228">#REF!</definedName>
    <definedName name="DATA229">#REF!</definedName>
    <definedName name="DATA23">#REF!</definedName>
    <definedName name="DATA230">#REF!</definedName>
    <definedName name="DATA231">#REF!</definedName>
    <definedName name="DATA232">#REF!</definedName>
    <definedName name="DATA233">#REF!</definedName>
    <definedName name="DATA234">#REF!</definedName>
    <definedName name="DATA235">#REF!</definedName>
    <definedName name="DATA236">#REF!</definedName>
    <definedName name="DATA237">#REF!</definedName>
    <definedName name="DATA238">#REF!</definedName>
    <definedName name="DATA239">#REF!</definedName>
    <definedName name="DATA24">#REF!</definedName>
    <definedName name="DATA240">#REF!</definedName>
    <definedName name="DATA241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DATOSGRAV.">#REF!</definedName>
    <definedName name="DOS">#REF!</definedName>
    <definedName name="ejex">'[6]Data Consolidated'!$R$2:$V$2,'[6]Data Consolidated'!$Z$2,'[6]Data Consolidated'!$AA$2</definedName>
    <definedName name="FMTOHZ.XLS">"Grupo 23"</definedName>
    <definedName name="FOTO">#REF!</definedName>
    <definedName name="_xlnm.Recorder">#REF!</definedName>
    <definedName name="GRAFICOS">#REF!</definedName>
    <definedName name="Group_release">[3]Synthesis!$M$1</definedName>
    <definedName name="Last">[3]Synthesis!$G$7</definedName>
    <definedName name="Last_list">[3]Synthesis!$H$6</definedName>
    <definedName name="Liste_clients">#REF!</definedName>
    <definedName name="LUP">'[3]Synthesis database'!$F$1</definedName>
    <definedName name="Nb_clients">#REF!</definedName>
    <definedName name="NB_Rsk4">[3]Synthesis!$F$7</definedName>
    <definedName name="Otro">#REF!</definedName>
    <definedName name="Part_Number">OFFSET([4]BOM!$B$3,1,0,COUNTA([4]BOM!$B:$B)-1,1)</definedName>
    <definedName name="PARTES">'[7]2-20T'!$B$56:$C$244</definedName>
    <definedName name="PARTES1">'[8]2-20T'!$B$56:$C$244</definedName>
    <definedName name="PH0">'[3]Synthesis database'!$AB$1</definedName>
    <definedName name="PH4A">'[3]Synthesis database'!$AF$1</definedName>
    <definedName name="PH4B">'[3]Synthesis database'!$AG$1</definedName>
    <definedName name="PHA">'[3]Synthesis database'!$G$1</definedName>
    <definedName name="Phase">[3]Synthesis!$H$7</definedName>
    <definedName name="PHPCC">'[3]Synthesis database'!$AA$1</definedName>
    <definedName name="PMA">'[3]Synthesis database'!$D$1</definedName>
    <definedName name="PRJ">'[3]Synthesis database'!$B$1</definedName>
    <definedName name="Project">[3]Synthesis!$B$7</definedName>
    <definedName name="Project_Manager">[3]Synthesis!$D$7</definedName>
    <definedName name="PRUEBA">#REF!</definedName>
    <definedName name="PS_ACT">'[3]Purchase Synthesis'!$J$2</definedName>
    <definedName name="PS_ANA">'[3]Purchase Synthesis'!$I$2</definedName>
    <definedName name="PS_CUST">'[3]Purchase Synthesis'!$C$2</definedName>
    <definedName name="PS_DAT">'[3]Purchase Synthesis'!$M$2</definedName>
    <definedName name="PS_LUP">'[3]Purchase Synthesis'!$F$2</definedName>
    <definedName name="PS_PHA">'[3]Purchase Synthesis'!$G$2</definedName>
    <definedName name="PS_PIL">'[3]Purchase Synthesis'!$K$2</definedName>
    <definedName name="PS_PMG">'[3]Purchase Synthesis'!$D$2</definedName>
    <definedName name="PS_PRJ">'[3]Purchase Synthesis'!$B$2</definedName>
    <definedName name="PS_RLE">'[3]Purchase Synthesis'!$E$2</definedName>
    <definedName name="PS_RSPSUP">'[3]Purchase Synthesis'!$L$2</definedName>
    <definedName name="PS_RSUP">'[3]Purchase Synthesis'!$H$2</definedName>
    <definedName name="PS_SIT">'[3]Purchase Synthesis'!$A$2</definedName>
    <definedName name="PS_STA">'[3]Purchase Synthesis'!$N$2</definedName>
    <definedName name="PUCU">"Text 96"</definedName>
    <definedName name="RCUS">'[3]Synthesis database'!$P$1</definedName>
    <definedName name="RECO">'[3]Synthesis database'!$I$1</definedName>
    <definedName name="Resp">[3]Synthesis!$I$7</definedName>
    <definedName name="Risk">[3]Synthesis!$E$7</definedName>
    <definedName name="RLE">'[3]Synthesis database'!$E$1</definedName>
    <definedName name="RORG">'[3]Synthesis database'!$M$1</definedName>
    <definedName name="ROTH">'[3]Synthesis database'!$Q$1</definedName>
    <definedName name="RPLA">'[3]Synthesis database'!$J$1</definedName>
    <definedName name="RPRO">'[3]Synthesis database'!$O$1</definedName>
    <definedName name="RRES">'[3]Synthesis database'!$N$1</definedName>
    <definedName name="RSL">'[3]Synthesis database'!$H$1</definedName>
    <definedName name="RSPCUS">'[3]Synthesis database'!$Y$1</definedName>
    <definedName name="RSPECO">'[3]Synthesis database'!$R$1</definedName>
    <definedName name="RSPORG">'[3]Synthesis database'!$V$1</definedName>
    <definedName name="RSPOTH">'[3]Synthesis database'!$Z$1</definedName>
    <definedName name="RSPPLA">'[3]Synthesis database'!$S$1</definedName>
    <definedName name="RSPPRO">'[3]Synthesis database'!$X$1</definedName>
    <definedName name="RSPRES">'[3]Synthesis database'!$W$1</definedName>
    <definedName name="RSPSUP">'[3]Synthesis database'!$T$1</definedName>
    <definedName name="RSPTEC">'[3]Synthesis database'!$U$1</definedName>
    <definedName name="RSUP">'[3]Synthesis database'!$K$1</definedName>
    <definedName name="RTEC">'[3]Synthesis database'!$L$1</definedName>
    <definedName name="SEMANA40">#REF!</definedName>
    <definedName name="shubidu">#REF!</definedName>
    <definedName name="SIT">'[3]Synthesis database'!$A$1</definedName>
    <definedName name="Site">[3]Synthesis!$A$7</definedName>
    <definedName name="teresa">[2]ZPPMC!#REF!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555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65">#REF!</definedName>
    <definedName name="TEST66">#REF!</definedName>
    <definedName name="TEST67">#REF!</definedName>
    <definedName name="TEST68">#REF!</definedName>
    <definedName name="TEST69">#REF!</definedName>
    <definedName name="TEST7">#REF!</definedName>
    <definedName name="TEST70">#REF!</definedName>
    <definedName name="TEST71">#REF!</definedName>
    <definedName name="TEST72">#REF!</definedName>
    <definedName name="TEST73">#REF!</definedName>
    <definedName name="TEST74">#REF!</definedName>
    <definedName name="TEST75">#REF!</definedName>
    <definedName name="TEST76">#REF!</definedName>
    <definedName name="TEST77">#REF!</definedName>
    <definedName name="TEST78">#REF!</definedName>
    <definedName name="TEST79">#REF!</definedName>
    <definedName name="TEST8">#REF!</definedName>
    <definedName name="TEST80">#REF!</definedName>
    <definedName name="TEST81">#REF!</definedName>
    <definedName name="TEST82">#REF!</definedName>
    <definedName name="TEST83">#REF!</definedName>
    <definedName name="TEST84">#REF!</definedName>
    <definedName name="TEST85">#REF!</definedName>
    <definedName name="TEST86">#REF!</definedName>
    <definedName name="TEST9">#REF!</definedName>
    <definedName name="TEST999999999999999999999999999999999">#REF!</definedName>
    <definedName name="TESTHKEY">#REF!</definedName>
    <definedName name="TESTKEYS">#REF!</definedName>
    <definedName name="TESTVKEY">#REF!</definedName>
    <definedName name="TIPOBJ">[5]Hoja1!$A$1:$A$2</definedName>
    <definedName name="_xlnm.Print_Titles">#N/A</definedName>
    <definedName name="UNO">#REF!</definedName>
    <definedName name="_xlnm.Print_Area" localSheetId="0">'01'!$A$1:$I$52</definedName>
    <definedName name="_xlnm.Print_Area" localSheetId="1">'Portada 1'!$A$1:$H$148</definedName>
    <definedName name="_xlnm.Print_Area" localSheetId="2">'Portada 2'!$A$1:$H$1</definedName>
  </definedNames>
  <calcPr/>
</workbook>
</file>

<file path=xl/calcChain.xml><?xml version="1.0" encoding="utf-8"?>
<calcChain xmlns="http://schemas.openxmlformats.org/spreadsheetml/2006/main">
  <c a="1" i="184" l="1" r="C176"/>
  <c r="C176"/>
  <c a="1" r="B176"/>
  <c r="B176"/>
  <c r="E177"/>
  <c r="E176"/>
  <c a="1" r="C174"/>
  <c r="C174"/>
  <c a="1" r="B174"/>
  <c r="B174"/>
  <c r="E175"/>
  <c r="E174"/>
  <c a="1" r="C172"/>
  <c r="C172"/>
  <c a="1" r="B172"/>
  <c r="B172"/>
  <c r="E173"/>
  <c r="E172"/>
  <c a="1" r="C170"/>
  <c r="C170"/>
  <c a="1" r="B170"/>
  <c r="B170"/>
  <c r="E171"/>
  <c r="E170"/>
  <c a="1" r="C168"/>
  <c r="C168"/>
  <c a="1" r="B168"/>
  <c r="B168"/>
  <c r="E169"/>
  <c r="E168"/>
  <c a="1" r="C166"/>
  <c r="C166"/>
  <c a="1" r="B166"/>
  <c r="B166"/>
  <c r="E167"/>
  <c r="E166"/>
  <c a="1" r="C164"/>
  <c r="C164"/>
  <c a="1" r="B164"/>
  <c r="B164"/>
  <c r="E165"/>
  <c r="E164"/>
  <c a="1" r="C162"/>
  <c r="C162"/>
  <c a="1" r="B162"/>
  <c r="B162"/>
  <c r="E163"/>
  <c r="E162"/>
  <c a="1" r="C160"/>
  <c r="C160"/>
  <c a="1" r="B160"/>
  <c r="B160"/>
  <c r="E161"/>
  <c r="E160"/>
  <c a="1" r="C158"/>
  <c r="C158"/>
  <c a="1" r="B158"/>
  <c r="B158"/>
  <c r="E159"/>
  <c r="E158"/>
  <c a="1" r="C156"/>
  <c r="C156"/>
  <c a="1" r="B156"/>
  <c r="B156"/>
  <c r="E157"/>
  <c r="E156"/>
  <c a="1" r="C154"/>
  <c r="C154"/>
  <c a="1" r="B154"/>
  <c r="B154"/>
  <c r="E155"/>
  <c r="E154"/>
  <c a="1" r="C152"/>
  <c r="C152"/>
  <c a="1" r="B152"/>
  <c r="B152"/>
  <c r="E153"/>
  <c r="E152"/>
  <c a="1" r="C150"/>
  <c r="C150"/>
  <c a="1" r="B150"/>
  <c r="B150"/>
  <c r="E151"/>
  <c r="E150"/>
  <c a="1" r="C148"/>
  <c r="C148"/>
  <c a="1" r="B148"/>
  <c r="B148"/>
  <c r="E149"/>
  <c r="E148"/>
  <c a="1" r="C146"/>
  <c r="C146"/>
  <c a="1" r="B146"/>
  <c r="B146"/>
  <c r="E147"/>
  <c r="E146"/>
  <c a="1" r="C144"/>
  <c r="C144"/>
  <c a="1" r="B144"/>
  <c r="B144"/>
  <c r="E145"/>
  <c r="E144"/>
  <c a="1" r="C142"/>
  <c r="C142"/>
  <c a="1" r="B142"/>
  <c r="B142"/>
  <c r="E143"/>
  <c r="E142"/>
  <c a="1" r="C140"/>
  <c r="C140"/>
  <c a="1" r="B140"/>
  <c r="B140"/>
  <c r="E141"/>
  <c r="E140"/>
  <c a="1" r="C138"/>
  <c r="C138"/>
  <c a="1" r="B138"/>
  <c r="B138"/>
  <c r="E139"/>
  <c r="E138"/>
  <c a="1" r="C136"/>
  <c r="C136"/>
  <c a="1" r="B136"/>
  <c r="B136"/>
  <c a="1" r="C134"/>
  <c r="C134"/>
  <c a="1" r="B134"/>
  <c r="B134"/>
  <c a="1" r="C132"/>
  <c r="C132"/>
  <c a="1" r="B132"/>
  <c r="B132"/>
  <c a="1" r="C130"/>
  <c r="C130"/>
  <c a="1" r="B130"/>
  <c r="B130"/>
  <c a="1" r="C128"/>
  <c r="C128"/>
  <c a="1" r="B128"/>
  <c r="B128"/>
  <c a="1" r="C126"/>
  <c r="C126"/>
  <c a="1" r="B126"/>
  <c r="B126"/>
  <c a="1" r="C124"/>
  <c r="C124"/>
  <c a="1" r="B124"/>
  <c r="B124"/>
  <c a="1" r="C122"/>
  <c r="C122"/>
  <c a="1" r="B122"/>
  <c r="B122"/>
  <c a="1" r="C120"/>
  <c r="C120"/>
  <c a="1" r="B120"/>
  <c r="B120"/>
  <c a="1" r="C118"/>
  <c r="C118"/>
  <c a="1" r="B118"/>
  <c r="B118"/>
  <c a="1" r="C116"/>
  <c r="C116"/>
  <c a="1" r="B116"/>
  <c r="B116"/>
  <c a="1" r="C114"/>
  <c r="C114"/>
  <c a="1" r="B114"/>
  <c r="B114"/>
  <c a="1" r="C112"/>
  <c r="C112"/>
  <c a="1" r="B112"/>
  <c r="B112"/>
  <c a="1" r="C110"/>
  <c r="C110"/>
  <c a="1" r="B110"/>
  <c r="B110"/>
  <c a="1" r="C108"/>
  <c r="C108"/>
  <c a="1" r="B108"/>
  <c r="B108"/>
  <c a="1" r="C106"/>
  <c r="C106"/>
  <c a="1" r="B106"/>
  <c r="B106"/>
  <c a="1" r="C104"/>
  <c r="C104"/>
  <c a="1" r="B104"/>
  <c r="B104"/>
  <c a="1" r="C102"/>
  <c r="C102"/>
  <c a="1" r="B102"/>
  <c r="B102"/>
  <c a="1" r="C100"/>
  <c r="C100"/>
  <c a="1" r="B100"/>
  <c r="B100"/>
  <c a="1" r="C98"/>
  <c r="C98"/>
  <c a="1" r="B98"/>
  <c r="B98"/>
  <c a="1" r="C96"/>
  <c r="C96"/>
  <c a="1" r="B96"/>
  <c r="B96"/>
  <c a="1" r="C94"/>
  <c r="C94"/>
  <c a="1" r="B94"/>
  <c r="B94"/>
  <c a="1" r="C92"/>
  <c r="C92"/>
  <c a="1" r="B92"/>
  <c r="B92"/>
  <c a="1" r="C90"/>
  <c r="C90"/>
  <c a="1" r="B90"/>
  <c r="B90"/>
  <c a="1" r="C88"/>
  <c r="C88"/>
  <c a="1" r="B88"/>
  <c r="B88"/>
  <c a="1" r="C86"/>
  <c r="C86"/>
  <c a="1" r="B86"/>
  <c r="B86"/>
  <c a="1" r="C84"/>
  <c r="C84"/>
  <c a="1" r="B84"/>
  <c r="B84"/>
  <c a="1" r="C82"/>
  <c r="C82"/>
  <c a="1" r="B82"/>
  <c r="B82"/>
  <c a="1" r="C80"/>
  <c r="C80"/>
  <c a="1" r="B80"/>
  <c r="B80"/>
  <c a="1" r="C78"/>
  <c r="C78"/>
  <c a="1" r="B78"/>
  <c r="B78"/>
  <c a="1" r="C76"/>
  <c r="C76"/>
  <c a="1" r="B76"/>
  <c r="B76"/>
  <c a="1" r="C74"/>
  <c r="C74"/>
  <c a="1" r="B74"/>
  <c r="B74"/>
  <c a="1" r="C72"/>
  <c r="C72"/>
  <c a="1" r="B72"/>
  <c r="B72"/>
  <c a="1" r="C70"/>
  <c r="C70"/>
  <c a="1" r="B70"/>
  <c r="B70"/>
  <c a="1" r="C68"/>
  <c r="C68"/>
  <c a="1" r="B68"/>
  <c r="B68"/>
  <c a="1" r="C66"/>
  <c r="C66"/>
  <c a="1" r="B66"/>
  <c r="B66"/>
  <c a="1" r="C64"/>
  <c r="C64"/>
  <c a="1" r="B64"/>
  <c r="B64"/>
  <c a="1" r="C62"/>
  <c r="C62"/>
  <c a="1" r="B62"/>
  <c r="B62"/>
  <c a="1" r="C60"/>
  <c r="C60"/>
  <c a="1" r="B60"/>
  <c r="B60"/>
  <c a="1" r="C58"/>
  <c r="C58"/>
  <c a="1" r="B58"/>
  <c r="B58"/>
  <c a="1" r="C56"/>
  <c r="C56"/>
  <c a="1" r="B56"/>
  <c r="B56"/>
  <c a="1" r="C54"/>
  <c r="C54"/>
  <c a="1" r="B54"/>
  <c r="B54"/>
  <c a="1" r="C52"/>
  <c r="C52"/>
  <c a="1" r="B52"/>
  <c r="B52"/>
  <c a="1" r="C50"/>
  <c r="C50"/>
  <c a="1" r="B50"/>
  <c r="B50"/>
  <c a="1" r="C48"/>
  <c r="C48"/>
  <c a="1" r="B48"/>
  <c r="B48"/>
  <c a="1" r="C46"/>
  <c r="C46"/>
  <c a="1" r="B46"/>
  <c r="B46"/>
  <c a="1" r="C44"/>
  <c r="C44"/>
  <c a="1" r="B44"/>
  <c r="B44"/>
  <c a="1" r="C42"/>
  <c r="C42"/>
  <c a="1" r="B42"/>
  <c r="B42"/>
  <c a="1" r="C40"/>
  <c r="C40"/>
  <c a="1" r="B40"/>
  <c r="B40"/>
  <c a="1" r="C38"/>
  <c r="C38"/>
  <c a="1" r="B38"/>
  <c r="B38"/>
  <c a="1" r="C36"/>
  <c r="C36"/>
  <c a="1" r="B36"/>
  <c r="B36"/>
  <c a="1" r="C34"/>
  <c r="C34"/>
  <c a="1" r="B34"/>
  <c r="B34"/>
  <c a="1" r="C32"/>
  <c r="C32"/>
  <c a="1" r="B32"/>
  <c r="B32"/>
  <c a="1" r="C30"/>
  <c r="C30"/>
  <c a="1" r="B30"/>
  <c r="B30"/>
  <c a="1" r="C28"/>
  <c r="C28"/>
  <c a="1" r="B28"/>
  <c r="B28"/>
  <c a="1" r="C26"/>
  <c r="C26"/>
  <c a="1" r="B26"/>
  <c r="B26"/>
  <c a="1" r="C24"/>
  <c r="C24"/>
  <c a="1" r="B24"/>
  <c r="B24"/>
  <c a="1" r="C22"/>
  <c r="C22"/>
  <c a="1" r="B22"/>
  <c r="B22"/>
  <c a="1" r="C20"/>
  <c r="C20"/>
  <c a="1" r="B20"/>
  <c r="B20"/>
  <c a="1" r="C18"/>
  <c r="C18"/>
  <c a="1" r="B18"/>
  <c r="B18"/>
  <c a="1" r="C16"/>
  <c r="C16"/>
  <c a="1" r="B16"/>
  <c r="B16"/>
  <c a="1" r="C14"/>
  <c r="C14"/>
  <c a="1" r="B14"/>
  <c r="B14"/>
  <c a="1" r="C12"/>
  <c r="C12"/>
  <c a="1" r="B12"/>
  <c r="B12"/>
  <c a="1" r="C10"/>
  <c r="C10"/>
  <c a="1" r="B10"/>
  <c r="B10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a="1" i="182" r="C138"/>
  <c r="C138"/>
  <c a="1" r="B138"/>
  <c r="B138"/>
  <c a="1" r="C136"/>
  <c r="C136"/>
  <c a="1" r="B136"/>
  <c r="B136"/>
  <c a="1" r="C134"/>
  <c r="C134"/>
  <c a="1" r="B134"/>
  <c r="B134"/>
  <c a="1" r="C132"/>
  <c r="C132"/>
  <c a="1" r="B132"/>
  <c r="B132"/>
  <c a="1" r="C130"/>
  <c r="C130"/>
  <c a="1" r="B130"/>
  <c r="B130"/>
  <c a="1" r="C128"/>
  <c r="C128"/>
  <c a="1" r="B128"/>
  <c r="B128"/>
  <c a="1" r="C126"/>
  <c r="C126"/>
  <c a="1" r="B126"/>
  <c r="B126"/>
  <c a="1" r="C124"/>
  <c r="C124"/>
  <c a="1" r="B124"/>
  <c r="B124"/>
  <c a="1" r="C122"/>
  <c r="C122"/>
  <c a="1" r="B122"/>
  <c r="B122"/>
  <c a="1" r="C120"/>
  <c r="C120"/>
  <c a="1" r="B120"/>
  <c r="B120"/>
  <c a="1" r="C118"/>
  <c r="C118"/>
  <c a="1" r="B118"/>
  <c r="B118"/>
  <c a="1" r="C116"/>
  <c r="C116"/>
  <c a="1" r="B116"/>
  <c r="B116"/>
  <c a="1" r="C114"/>
  <c r="C114"/>
  <c a="1" r="B114"/>
  <c r="B114"/>
  <c a="1" r="C112"/>
  <c r="C112"/>
  <c a="1" r="B112"/>
  <c r="B112"/>
  <c a="1" r="C110"/>
  <c r="C110"/>
  <c a="1" r="B110"/>
  <c r="B110"/>
  <c a="1" r="C108"/>
  <c r="C108"/>
  <c a="1" r="B108"/>
  <c r="B108"/>
  <c a="1" r="C106"/>
  <c r="C106"/>
  <c a="1" r="B106"/>
  <c r="B106"/>
  <c a="1" r="C104"/>
  <c r="C104"/>
  <c a="1" r="B104"/>
  <c r="B104"/>
  <c a="1" r="C102"/>
  <c r="C102"/>
  <c a="1" r="B102"/>
  <c r="B102"/>
  <c a="1" r="C100"/>
  <c r="C100"/>
  <c a="1" r="B100"/>
  <c r="B100"/>
  <c a="1" r="C98"/>
  <c r="C98"/>
  <c a="1" r="B98"/>
  <c r="B98"/>
  <c a="1" r="C96"/>
  <c r="C96"/>
  <c a="1" r="B96"/>
  <c r="B96"/>
  <c a="1" r="C94"/>
  <c r="C94"/>
  <c a="1" r="B94"/>
  <c r="B94"/>
  <c a="1" r="C92"/>
  <c r="C92"/>
  <c a="1" r="B92"/>
  <c r="B92"/>
  <c a="1" r="C90"/>
  <c r="C90"/>
  <c a="1" r="B90"/>
  <c r="B90"/>
  <c a="1" r="C88"/>
  <c r="C88"/>
  <c a="1" r="B88"/>
  <c r="B88"/>
  <c a="1" r="C86"/>
  <c r="C86"/>
  <c a="1" r="B86"/>
  <c r="B86"/>
  <c a="1" r="C84"/>
  <c r="C84"/>
  <c a="1" r="B84"/>
  <c r="B84"/>
  <c a="1" r="C82"/>
  <c r="C82"/>
  <c a="1" r="B82"/>
  <c r="B82"/>
  <c a="1" r="C80"/>
  <c r="C80"/>
  <c a="1" r="B80"/>
  <c r="B80"/>
  <c a="1" r="C78"/>
  <c r="C78"/>
  <c a="1" r="B78"/>
  <c r="B78"/>
  <c a="1" r="C76"/>
  <c r="C76"/>
  <c a="1" r="B76"/>
  <c r="B76"/>
  <c a="1" r="C74"/>
  <c r="C74"/>
  <c a="1" r="B74"/>
  <c r="B74"/>
  <c a="1" r="C72"/>
  <c r="C72"/>
  <c a="1" r="B72"/>
  <c r="B72"/>
  <c a="1" r="C70"/>
  <c r="C70"/>
  <c a="1" r="B70"/>
  <c r="B70"/>
  <c a="1" r="C68"/>
  <c r="C68"/>
  <c a="1" r="B68"/>
  <c r="B68"/>
  <c a="1" r="C66"/>
  <c r="C66"/>
  <c a="1" r="B66"/>
  <c r="B66"/>
  <c a="1" r="C64"/>
  <c r="C64"/>
  <c a="1" r="B64"/>
  <c r="B64"/>
  <c a="1" r="C62"/>
  <c r="C62"/>
  <c a="1" r="B62"/>
  <c r="B62"/>
  <c a="1" r="C60"/>
  <c r="C60"/>
  <c a="1" r="B60"/>
  <c r="B60"/>
  <c a="1" r="C58"/>
  <c r="C58"/>
  <c a="1" r="B58"/>
  <c r="B58"/>
  <c a="1" r="C56"/>
  <c r="C56"/>
  <c a="1" r="B56"/>
  <c r="B56"/>
  <c a="1" r="C54"/>
  <c r="C54"/>
  <c a="1" r="B54"/>
  <c r="B54"/>
  <c a="1" r="C52"/>
  <c r="C52"/>
  <c a="1" r="B52"/>
  <c r="B52"/>
  <c a="1" r="C50"/>
  <c r="C50"/>
  <c a="1" r="B50"/>
  <c r="B50"/>
  <c a="1" r="C48"/>
  <c r="C48"/>
  <c a="1" r="B48"/>
  <c r="B48"/>
  <c a="1" r="C46"/>
  <c r="C46"/>
  <c a="1" r="B46"/>
  <c r="B46"/>
  <c a="1" r="C44"/>
  <c r="C44"/>
  <c a="1" r="B44"/>
  <c r="B44"/>
  <c a="1" r="C42"/>
  <c r="C42"/>
  <c a="1" r="B42"/>
  <c r="B42"/>
  <c a="1" r="C40"/>
  <c r="C40"/>
  <c a="1" r="B40"/>
  <c r="B40"/>
  <c a="1" r="C38"/>
  <c r="C38"/>
  <c a="1" r="B38"/>
  <c r="B38"/>
  <c a="1" r="C36"/>
  <c r="C36"/>
  <c a="1" r="B36"/>
  <c r="B36"/>
  <c a="1" r="C34"/>
  <c r="C34"/>
  <c a="1" r="B34"/>
  <c r="B34"/>
  <c a="1" r="C32"/>
  <c r="C32"/>
  <c a="1" r="B32"/>
  <c r="B32"/>
  <c a="1" r="C30"/>
  <c r="C30"/>
  <c a="1" r="B30"/>
  <c r="B30"/>
  <c a="1" r="C28"/>
  <c r="C28"/>
  <c a="1" r="B28"/>
  <c r="B28"/>
  <c a="1" r="C26"/>
  <c r="C26"/>
  <c a="1" r="B26"/>
  <c r="B26"/>
  <c a="1" r="C24"/>
  <c r="C24"/>
  <c a="1" r="B24"/>
  <c r="B24"/>
  <c a="1" r="C22"/>
  <c r="C22"/>
  <c a="1" r="B22"/>
  <c r="B22"/>
  <c a="1" r="C20"/>
  <c r="C20"/>
  <c a="1" r="B20"/>
  <c r="B20"/>
  <c a="1" r="C18"/>
  <c r="C18"/>
  <c a="1" r="B18"/>
  <c r="B18"/>
  <c a="1" r="C16"/>
  <c r="C16"/>
  <c a="1" r="B16"/>
  <c r="B16"/>
  <c a="1" r="C14"/>
  <c r="C14"/>
  <c a="1" r="B14"/>
  <c r="B14"/>
  <c a="1" r="C12"/>
  <c r="C12"/>
  <c a="1" r="B12"/>
  <c r="B12"/>
  <c a="1" r="C10"/>
  <c r="C10"/>
  <c a="1" r="B10"/>
  <c r="B1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i="1" r="D7"/>
  <c r="D6"/>
  <c r="D41"/>
  <c r="L9"/>
  <c r="G34"/>
  <c r="H9"/>
  <c r="D13"/>
  <c r="D12"/>
  <c r="G13"/>
  <c r="H13"/>
  <c r="C41"/>
  <c r="H17"/>
  <c r="H19"/>
  <c r="D21"/>
  <c r="H16"/>
  <c r="G17"/>
  <c r="H18"/>
  <c r="G20"/>
  <c r="H21"/>
  <c r="H22"/>
  <c r="G23"/>
  <c r="H24"/>
  <c r="G25"/>
  <c r="D26"/>
  <c r="H26"/>
  <c r="G27"/>
  <c r="D28"/>
  <c r="G28"/>
  <c r="D29"/>
  <c r="D30"/>
  <c r="H30"/>
  <c r="D31"/>
  <c r="H31"/>
  <c r="H32"/>
  <c r="G33"/>
  <c r="H33"/>
  <c r="H34"/>
  <c r="D18"/>
  <c r="G19"/>
  <c r="H20"/>
  <c r="G21"/>
  <c r="G22"/>
  <c r="D16"/>
  <c r="D17"/>
  <c r="G18"/>
  <c r="D19"/>
  <c r="D20"/>
  <c r="D22"/>
  <c r="D23"/>
  <c r="H23"/>
  <c r="G24"/>
  <c r="D25"/>
  <c r="H25"/>
  <c r="G26"/>
  <c r="D27"/>
  <c r="H27"/>
  <c r="H28"/>
  <c r="G29"/>
  <c r="H29"/>
  <c r="G30"/>
  <c r="G31"/>
  <c r="D32"/>
  <c r="G32"/>
  <c r="D33"/>
  <c r="D34"/>
  <c l="1" r="G16"/>
  <c r="D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<sst xmlns="http://schemas.openxmlformats.org/spreadsheetml/2006/main">
  <si>
    <t>Orden de Mantenimiento</t>
  </si>
  <si>
    <t>IE4-MX-004</t>
  </si>
  <si>
    <t>Version: 04</t>
  </si>
  <si>
    <t>Semana:</t>
  </si>
  <si>
    <t>No de Orden:</t>
  </si>
  <si>
    <t>Creado por:</t>
  </si>
  <si>
    <t>Fernando Manuel Paz Rodriguez</t>
  </si>
  <si>
    <t>Departamento:</t>
  </si>
  <si>
    <t>Mantenimiento AWH</t>
  </si>
  <si>
    <t>Fecha de Ejecución:</t>
  </si>
  <si>
    <t>________________</t>
  </si>
  <si>
    <t>Estatus:</t>
  </si>
  <si>
    <t>Abierta</t>
  </si>
  <si>
    <t>Duración de tarea:</t>
  </si>
  <si>
    <t>Prioridad:</t>
  </si>
  <si>
    <t>Baja</t>
  </si>
  <si>
    <t>Locación:</t>
  </si>
  <si>
    <t>Automatic Warehouse</t>
  </si>
  <si>
    <t>Tipo de Mantenimiento:</t>
  </si>
  <si>
    <t>Preventivo</t>
  </si>
  <si>
    <t>No. de rutina:</t>
  </si>
  <si>
    <t>Descripción del Equipo:</t>
  </si>
  <si>
    <t>Descripción de la Tarea:</t>
  </si>
  <si>
    <t xml:space="preserve">Seq. #    </t>
  </si>
  <si>
    <t>Descripción</t>
  </si>
  <si>
    <t>Status</t>
  </si>
  <si>
    <t>Punto Critico</t>
  </si>
  <si>
    <t>Detalles</t>
  </si>
  <si>
    <t>Comentarios:</t>
  </si>
  <si>
    <t># Empleado</t>
  </si>
  <si>
    <t>Nombre del Empleado</t>
  </si>
  <si>
    <t># Personas</t>
  </si>
  <si>
    <t>Duración en la tarea</t>
  </si>
  <si>
    <t>Firma de empleado</t>
  </si>
  <si>
    <t>________</t>
  </si>
  <si>
    <t>_________</t>
  </si>
  <si>
    <t>____________</t>
  </si>
  <si>
    <t>___________________________</t>
  </si>
  <si>
    <t>________________________________________________________</t>
  </si>
  <si>
    <t>Nombre y firma de Evaluador de Actividad</t>
  </si>
  <si>
    <t xml:space="preserve">Inventario </t>
  </si>
  <si>
    <t>Material Utilizado</t>
  </si>
  <si>
    <t># ITEM</t>
  </si>
  <si>
    <t>Cantidad</t>
  </si>
  <si>
    <t>________________________________</t>
  </si>
  <si>
    <t>_______</t>
  </si>
  <si>
    <t>Semana: 17 del 20 al 26 de Abril</t>
  </si>
  <si>
    <t xml:space="preserve"># </t>
  </si>
  <si>
    <t>EQUIPO</t>
  </si>
  <si>
    <t>ACTIVIDAD</t>
  </si>
  <si>
    <t>RESPONSABLE</t>
  </si>
  <si>
    <t>STATUS DE CUMPLIMIENTO</t>
  </si>
  <si>
    <t>Semana: 16 del 13 al 19 de Abril</t>
  </si>
</sst>
</file>

<file path=xl/styles.xml><?xml version="1.0" encoding="utf-8"?>
<styleSheet xmlns="http://schemas.openxmlformats.org/spreadsheetml/2006/main">
  <fonts count="26">
    <font>
      <sz val="11"/>
      <color theme="1"/>
      <name val="Calibri"/>
      <family val="2"/>
      <scheme val="minor"/>
    </font>
    <font>
      <sz val="11"/>
      <color theme="1"/>
      <name val="Arial"/>
    </font>
    <font>
      <b/>
      <sz val="12"/>
      <color theme="1"/>
      <name val="Calibri"/>
      <scheme val="minor"/>
    </font>
    <font>
      <sz val="9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1"/>
      <name val="Calibri"/>
      <scheme val="minor"/>
    </font>
    <font>
      <b/>
      <u/>
      <sz val="11"/>
      <color theme="1"/>
      <name val="Calibri"/>
      <scheme val="minor"/>
    </font>
    <font>
      <sz val="10"/>
      <color theme="1"/>
      <name val="Calibri"/>
      <scheme val="minor"/>
    </font>
    <font>
      <b/>
      <sz val="10"/>
      <color theme="1"/>
      <name val="Arial"/>
    </font>
    <font>
      <b/>
      <u/>
      <sz val="10"/>
      <color theme="1"/>
      <name val="Calibri"/>
      <scheme val="minor"/>
    </font>
    <font>
      <b/>
      <sz val="10"/>
      <color indexed="8"/>
      <name val="Calibri"/>
      <scheme val="minor"/>
    </font>
    <font>
      <u/>
      <sz val="10"/>
      <color theme="1"/>
      <name val="Calibri"/>
      <scheme val="minor"/>
    </font>
    <font>
      <u/>
      <sz val="10"/>
      <color theme="1"/>
      <name val="Arial"/>
    </font>
    <font>
      <sz val="10"/>
      <color theme="1"/>
      <name val="Arial"/>
    </font>
    <font>
      <sz val="8"/>
      <color indexed="8"/>
      <name val="Arial"/>
    </font>
    <font>
      <b/>
      <sz val="10"/>
      <color rgb="FF0070C0"/>
      <name val="Calibri"/>
      <scheme val="minor"/>
    </font>
    <font>
      <sz val="10"/>
      <color rgb="FF0070C0"/>
      <name val="Calibri"/>
      <scheme val="minor"/>
    </font>
    <font>
      <u/>
      <sz val="10"/>
      <color rgb="FF0070C0"/>
      <name val="Calibri"/>
      <scheme val="minor"/>
    </font>
    <font>
      <b/>
      <sz val="16"/>
      <color theme="1"/>
      <name val="Calibri"/>
      <scheme val="minor"/>
    </font>
    <font>
      <sz val="14"/>
      <name val="Calibri"/>
      <scheme val="minor"/>
    </font>
    <font>
      <sz val="12"/>
      <name val="Calibri"/>
      <scheme val="minor"/>
    </font>
    <font>
      <b/>
      <sz val="12"/>
      <color theme="7"/>
      <name val="Calibri"/>
      <scheme val="minor"/>
    </font>
    <font>
      <b/>
      <sz val="12"/>
      <name val="Calibri"/>
      <scheme val="minor"/>
    </font>
    <font>
      <sz val="10"/>
      <color indexed="8"/>
      <name val="MS Sans Serif"/>
    </font>
    <font>
      <sz val="10"/>
      <color indexed="8"/>
      <name val="Arial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">
    <border/>
    <border>
      <bottom style="thin">
        <color indexed="64"/>
      </bottom>
    </border>
    <border>
      <top style="thin">
        <color indexed="64"/>
      </top>
      <bottom style="thin">
        <color indexed="64"/>
      </bottom>
    </border>
    <border>
      <right style="thin">
        <color indexed="64"/>
      </right>
    </border>
    <border>
      <left style="thin">
        <color indexed="64"/>
      </left>
      <top style="thin">
        <color indexed="64"/>
      </top>
      <bottom style="thin">
        <color indexed="64"/>
      </bottom>
    </border>
    <border>
      <right style="thin">
        <color indexed="64"/>
      </right>
      <top style="thin">
        <color indexed="64"/>
      </top>
      <bottom style="thin">
        <color indexed="64"/>
      </bottom>
    </border>
    <border>
      <bottom style="thin">
        <color indexed="8"/>
      </bottom>
    </border>
    <border>
      <top style="thin">
        <color indexed="64"/>
      </top>
    </border>
    <border>
      <left style="thin">
        <color indexed="64"/>
      </left>
      <top style="thin">
        <color indexed="64"/>
      </top>
    </border>
    <border>
      <right style="thin">
        <color indexed="64"/>
      </right>
      <top style="thin">
        <color indexed="64"/>
      </top>
    </border>
    <border>
      <left style="thin">
        <color indexed="64"/>
      </left>
    </border>
    <border>
      <left style="thin">
        <color indexed="64"/>
      </left>
      <bottom style="thin">
        <color indexed="64"/>
      </bottom>
    </border>
    <border>
      <right style="thin">
        <color indexed="64"/>
      </right>
      <bottom style="thin">
        <color indexed="64"/>
      </bottom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</border>
    <border>
      <left style="thin">
        <color indexed="64"/>
      </left>
      <right style="thin">
        <color indexed="64"/>
      </right>
      <bottom style="thin">
        <color indexed="64"/>
      </bottom>
    </border>
  </borders>
  <cellStyleXfs count="12">
    <xf numFmtId="0" fontId="0" fillId="0" borderId="0"/>
    <xf numFmtId="0" fontId="0" fillId="0" borderId="0"/>
    <xf numFmtId="0" fontId="0" fillId="0" borderId="0"/>
    <xf numFmtId="0" fontId="23" fillId="0" borderId="0"/>
    <xf numFmtId="0" fontId="24" fillId="0" borderId="0">
      <alignment vertical="top"/>
    </xf>
    <xf numFmtId="0" fontId="24" fillId="0" borderId="0">
      <alignment vertical="top"/>
    </xf>
    <xf numFmtId="0" fontId="0" fillId="0" borderId="0"/>
    <xf numFmtId="0" fontId="0" fillId="0" borderId="0"/>
    <xf numFmtId="0" fontId="25" fillId="0" borderId="0"/>
    <xf numFmtId="0" fontId="24" fillId="0" borderId="0">
      <alignment vertical="top"/>
    </xf>
    <xf numFmtId="0" fontId="0" fillId="0" borderId="0"/>
    <xf numFmtId="0" fontId="24" fillId="0" borderId="0">
      <alignment vertical="top"/>
    </xf>
  </cellStyleXfs>
  <cellXfs count="99">
    <xf numFmtId="0" fontId="0" fillId="0" borderId="0" xfId="0"/>
    <xf numFmtId="0" fontId="1" fillId="2" borderId="0" xfId="0" applyFont="1" applyFill="1"/>
    <xf numFmtId="0" fontId="1" fillId="0" borderId="0" xfId="0" applyFont="1" applyAlignment="1">
      <alignment horizontal="left"/>
    </xf>
    <xf numFmtId="0" fontId="0" fillId="2" borderId="0" xfId="1" applyFill="1"/>
    <xf numFmtId="0" fontId="0" fillId="0" borderId="0" xfId="1"/>
    <xf numFmtId="0" fontId="0" fillId="2" borderId="0" xfId="2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1" applyFont="1" applyFill="1" applyAlignment="1">
      <alignment horizontal="right" vertical="center"/>
    </xf>
    <xf numFmtId="0" fontId="3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0" xfId="1" applyFont="1" applyFill="1" applyAlignment="1">
      <alignment horizontal="right"/>
    </xf>
    <xf numFmtId="0" fontId="3" fillId="2" borderId="0" xfId="1" applyFont="1" applyFill="1" applyAlignment="1">
      <alignment horizontal="right"/>
    </xf>
    <xf numFmtId="0" fontId="0" fillId="2" borderId="0" xfId="1" applyFill="1" applyAlignment="1">
      <alignment vertical="top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 vertical="center"/>
    </xf>
    <xf numFmtId="0" fontId="5" fillId="2" borderId="0" xfId="1" applyFont="1" applyFill="1"/>
    <xf numFmtId="0" fontId="7" fillId="2" borderId="0" xfId="1" applyFont="1" applyFill="1"/>
    <xf numFmtId="0" fontId="7" fillId="2" borderId="0" xfId="1" applyFont="1" applyFill="1" applyAlignment="1">
      <alignment vertical="top"/>
    </xf>
    <xf numFmtId="0" fontId="8" fillId="2" borderId="1" xfId="0" applyFont="1" applyFill="1" applyBorder="1" applyAlignment="1">
      <alignment horizontal="center"/>
    </xf>
    <xf numFmtId="0" fontId="9" fillId="2" borderId="0" xfId="1" applyFont="1" applyFill="1"/>
    <xf numFmtId="0" fontId="10" fillId="2" borderId="0" xfId="1" applyFont="1" applyFill="1" applyAlignment="1">
      <alignment horizontal="left" vertical="center" wrapText="1" readingOrder="1"/>
    </xf>
    <xf numFmtId="0" fontId="7" fillId="2" borderId="1" xfId="1" applyFont="1" applyFill="1" applyBorder="1" applyAlignment="1">
      <alignment horizontal="left" vertical="center"/>
    </xf>
    <xf numFmtId="14" fontId="11" fillId="2" borderId="0" xfId="1" applyNumberFormat="1" applyFont="1" applyFill="1" applyAlignment="1">
      <alignment horizontal="left"/>
    </xf>
    <xf numFmtId="0" fontId="7" fillId="2" borderId="2" xfId="1" applyFont="1" applyFill="1" applyBorder="1" applyAlignment="1">
      <alignment horizontal="left" vertical="center"/>
    </xf>
    <xf numFmtId="0" fontId="11" fillId="2" borderId="0" xfId="1" applyFont="1" applyFill="1" applyAlignment="1">
      <alignment horizontal="left"/>
    </xf>
    <xf numFmtId="0" fontId="7" fillId="2" borderId="2" xfId="1" applyFont="1" applyFill="1" applyBorder="1" applyAlignment="1">
      <alignment horizontal="left"/>
    </xf>
    <xf numFmtId="0" fontId="5" fillId="2" borderId="0" xfId="1" applyFont="1" applyFill="1" applyAlignment="1">
      <alignment vertical="center" wrapText="1"/>
    </xf>
    <xf numFmtId="0" fontId="11" fillId="2" borderId="0" xfId="1" applyFont="1" applyFill="1"/>
    <xf numFmtId="0" fontId="8" fillId="2" borderId="0" xfId="0" applyFont="1" applyFill="1" applyAlignment="1">
      <alignment horizontal="left" vertical="center"/>
    </xf>
    <xf numFmtId="0" fontId="5" fillId="2" borderId="0" xfId="1" applyFont="1" applyFill="1" applyAlignment="1">
      <alignment vertical="center"/>
    </xf>
    <xf numFmtId="0" fontId="12" fillId="2" borderId="0" xfId="0" applyFont="1" applyFill="1" applyAlignment="1">
      <alignment horizontal="left"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13" fillId="0" borderId="0" xfId="0" applyFont="1"/>
    <xf numFmtId="0" fontId="10" fillId="2" borderId="6" xfId="1" applyFont="1" applyFill="1" applyBorder="1" applyAlignment="1">
      <alignment horizontal="center" vertical="center" wrapText="1" readingOrder="1"/>
    </xf>
    <xf numFmtId="0" fontId="10" fillId="2" borderId="0" xfId="1" applyFont="1" applyFill="1" applyAlignment="1">
      <alignment horizontal="center" vertical="center" wrapText="1" readingOrder="1"/>
    </xf>
    <xf numFmtId="0" fontId="7" fillId="3" borderId="0" xfId="1" applyFont="1" applyFill="1" applyAlignment="1">
      <alignment horizontal="center" vertical="center"/>
    </xf>
    <xf numFmtId="0" fontId="7" fillId="3" borderId="0" xfId="1" applyFont="1" applyFill="1" applyAlignment="1">
      <alignment horizontal="left" vertical="center" wrapText="1"/>
    </xf>
    <xf numFmtId="0" fontId="7" fillId="3" borderId="0" xfId="1" applyFont="1" applyFill="1" applyAlignment="1">
      <alignment horizontal="left" vertical="center"/>
    </xf>
    <xf numFmtId="0" fontId="7" fillId="3" borderId="7" xfId="1" applyFont="1" applyFill="1" applyBorder="1" applyAlignment="1">
      <alignment horizontal="left" vertical="center"/>
    </xf>
    <xf numFmtId="0" fontId="7" fillId="3" borderId="0" xfId="1" applyFont="1" applyFill="1" applyAlignment="1">
      <alignment horizontal="left" vertical="top" wrapText="1"/>
    </xf>
    <xf numFmtId="0" fontId="7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7" fillId="2" borderId="0" xfId="1" applyFont="1" applyFill="1" applyAlignment="1">
      <alignment horizontal="left" vertical="top" wrapText="1"/>
    </xf>
    <xf numFmtId="0" fontId="0" fillId="0" borderId="0" xfId="0" applyAlignment="1">
      <alignment vertical="top"/>
    </xf>
    <xf numFmtId="0" fontId="14" fillId="0" borderId="0" xfId="0" applyFont="1" applyAlignment="1">
      <alignment vertical="top" wrapText="1" readingOrder="1"/>
    </xf>
    <xf numFmtId="0" fontId="1" fillId="2" borderId="0" xfId="0" applyFont="1" applyFill="1" applyAlignment="1">
      <alignment horizontal="left"/>
    </xf>
    <xf numFmtId="0" fontId="0" fillId="2" borderId="8" xfId="1" applyFill="1" applyBorder="1"/>
    <xf numFmtId="0" fontId="7" fillId="2" borderId="7" xfId="1" applyFont="1" applyFill="1" applyBorder="1" applyAlignment="1">
      <alignment horizontal="left" vertical="top" wrapText="1"/>
    </xf>
    <xf numFmtId="0" fontId="7" fillId="2" borderId="7" xfId="1" applyFont="1" applyFill="1" applyBorder="1" applyAlignment="1">
      <alignment horizontal="left" vertical="top"/>
    </xf>
    <xf numFmtId="0" fontId="7" fillId="2" borderId="9" xfId="1" applyFont="1" applyFill="1" applyBorder="1" applyAlignment="1">
      <alignment horizontal="left" vertical="top"/>
    </xf>
    <xf numFmtId="0" fontId="0" fillId="2" borderId="10" xfId="1" applyFill="1" applyBorder="1"/>
    <xf numFmtId="0" fontId="7" fillId="2" borderId="0" xfId="1" applyFont="1" applyFill="1" applyAlignment="1">
      <alignment horizontal="left" vertical="top"/>
    </xf>
    <xf numFmtId="0" fontId="7" fillId="2" borderId="3" xfId="1" applyFont="1" applyFill="1" applyBorder="1" applyAlignment="1">
      <alignment horizontal="left" vertical="top"/>
    </xf>
    <xf numFmtId="0" fontId="0" fillId="2" borderId="11" xfId="1" applyFill="1" applyBorder="1"/>
    <xf numFmtId="0" fontId="7" fillId="2" borderId="1" xfId="1" applyFont="1" applyFill="1" applyBorder="1" applyAlignment="1">
      <alignment horizontal="left" vertical="top"/>
    </xf>
    <xf numFmtId="0" fontId="7" fillId="2" borderId="12" xfId="1" applyFont="1" applyFill="1" applyBorder="1" applyAlignment="1">
      <alignment horizontal="left" vertical="top"/>
    </xf>
    <xf numFmtId="0" fontId="5" fillId="0" borderId="0" xfId="1" applyFont="1" applyAlignment="1">
      <alignment horizontal="left"/>
    </xf>
    <xf numFmtId="0" fontId="5" fillId="0" borderId="0" xfId="1" applyFont="1" applyAlignment="1">
      <alignment horizontal="center" wrapText="1"/>
    </xf>
    <xf numFmtId="0" fontId="7" fillId="0" borderId="0" xfId="1" applyFont="1"/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9" fillId="0" borderId="0" xfId="1" applyFont="1" applyAlignment="1">
      <alignment horizontal="left"/>
    </xf>
    <xf numFmtId="0" fontId="9" fillId="0" borderId="0" xfId="1" applyFont="1"/>
    <xf numFmtId="0" fontId="9" fillId="0" borderId="0" xfId="1" applyFont="1" applyAlignment="1">
      <alignment horizontal="center"/>
    </xf>
    <xf numFmtId="0" fontId="5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0" fillId="0" borderId="13" xfId="1" applyBorder="1"/>
    <xf numFmtId="0" fontId="5" fillId="0" borderId="0" xfId="1" applyFont="1"/>
    <xf numFmtId="0" fontId="15" fillId="0" borderId="0" xfId="1" applyFont="1"/>
    <xf numFmtId="0" fontId="16" fillId="0" borderId="0" xfId="1" applyFont="1"/>
    <xf numFmtId="0" fontId="15" fillId="0" borderId="0" xfId="1" applyFont="1" applyAlignment="1">
      <alignment horizontal="center" wrapText="1"/>
    </xf>
    <xf numFmtId="0" fontId="17" fillId="0" borderId="0" xfId="1" applyFont="1" applyAlignment="1">
      <alignment horizontal="center"/>
    </xf>
    <xf numFmtId="0" fontId="0" fillId="2" borderId="0" xfId="2" applyFill="1" applyAlignment="1">
      <alignment horizontal="center" vertical="center"/>
    </xf>
    <xf numFmtId="0" fontId="0" fillId="0" borderId="0" xfId="2"/>
    <xf numFmtId="0" fontId="0" fillId="2" borderId="0" xfId="2" applyFont="1" applyFill="1"/>
    <xf numFmtId="0" fontId="2" fillId="2" borderId="14" xfId="2" applyFont="1" applyFill="1" applyBorder="1" applyAlignment="1">
      <alignment horizontal="center"/>
    </xf>
    <xf numFmtId="0" fontId="18" fillId="2" borderId="14" xfId="2" applyFont="1" applyFill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9" fillId="2" borderId="15" xfId="2" applyFont="1" applyFill="1" applyBorder="1" applyAlignment="1">
      <alignment horizontal="center" vertical="center"/>
    </xf>
    <xf numFmtId="0" fontId="19" fillId="2" borderId="15" xfId="3" applyFont="1" applyFill="1" applyBorder="1" applyAlignment="1">
      <alignment horizontal="center" vertical="center"/>
    </xf>
    <xf numFmtId="0" fontId="19" fillId="2" borderId="15" xfId="3" applyFont="1" applyFill="1" applyBorder="1" applyAlignment="1">
      <alignment horizontal="center" vertical="center" wrapText="1"/>
    </xf>
    <xf numFmtId="0" fontId="20" fillId="2" borderId="15" xfId="3" applyFont="1" applyFill="1" applyBorder="1" applyAlignment="1">
      <alignment horizontal="center" vertical="center"/>
    </xf>
    <xf numFmtId="0" fontId="21" fillId="4" borderId="4" xfId="3" applyFont="1" applyFill="1" applyBorder="1" applyAlignment="1">
      <alignment horizontal="center" vertical="center"/>
    </xf>
    <xf numFmtId="0" fontId="21" fillId="4" borderId="2" xfId="3" applyFont="1" applyFill="1" applyBorder="1" applyAlignment="1">
      <alignment horizontal="center" vertical="center"/>
    </xf>
    <xf numFmtId="0" fontId="21" fillId="4" borderId="5" xfId="3" applyFont="1" applyFill="1" applyBorder="1" applyAlignment="1">
      <alignment horizontal="center" vertical="center"/>
    </xf>
    <xf numFmtId="0" fontId="19" fillId="2" borderId="16" xfId="2" applyFont="1" applyFill="1" applyBorder="1" applyAlignment="1">
      <alignment horizontal="center" vertical="center"/>
    </xf>
    <xf numFmtId="0" fontId="19" fillId="2" borderId="16" xfId="3" applyFont="1" applyFill="1" applyBorder="1" applyAlignment="1">
      <alignment horizontal="center" vertical="center"/>
    </xf>
    <xf numFmtId="0" fontId="19" fillId="2" borderId="16" xfId="3" applyFont="1" applyFill="1" applyBorder="1" applyAlignment="1">
      <alignment horizontal="center" vertical="center" wrapText="1"/>
    </xf>
    <xf numFmtId="0" fontId="20" fillId="2" borderId="16" xfId="3" applyFont="1" applyFill="1" applyBorder="1" applyAlignment="1">
      <alignment horizontal="center" vertical="center"/>
    </xf>
    <xf numFmtId="0" fontId="22" fillId="5" borderId="14" xfId="3" applyFont="1" applyFill="1" applyBorder="1" applyAlignment="1">
      <alignment horizontal="center" vertical="center"/>
    </xf>
    <xf numFmtId="0" fontId="22" fillId="6" borderId="14" xfId="3" applyFont="1" applyFill="1" applyBorder="1" applyAlignment="1">
      <alignment horizontal="center" vertical="center"/>
    </xf>
    <xf numFmtId="0" fontId="22" fillId="7" borderId="14" xfId="3" applyFont="1" applyFill="1" applyBorder="1" applyAlignment="1">
      <alignment horizontal="center" vertical="center"/>
    </xf>
    <xf numFmtId="0" fontId="22" fillId="8" borderId="14" xfId="3" applyFont="1" applyFill="1" applyBorder="1" applyAlignment="1">
      <alignment horizontal="center" vertical="center"/>
    </xf>
    <xf numFmtId="0" fontId="0" fillId="0" borderId="0" xfId="2" applyAlignment="1">
      <alignment horizontal="center" vertical="center"/>
    </xf>
  </cellXfs>
  <cellStyles count="12">
    <cellStyle name="Normal" xfId="0" builtinId="0"/>
    <cellStyle name="Normal 2" xfId="1"/>
    <cellStyle name="Normal 2 4" xfId="2"/>
    <cellStyle name="Normal 2 2" xfId="3"/>
    <cellStyle name="Normal 5" xfId="4"/>
    <cellStyle name="Normal 3 4" xfId="5"/>
    <cellStyle name="Normal 3 2 2" xfId="6"/>
    <cellStyle name="Normal 4 3" xfId="7"/>
    <cellStyle name="Normal 2 3" xfId="8"/>
    <cellStyle name="Normal 3" xfId="9"/>
    <cellStyle name="Normal 4 2 2" xfId="10"/>
    <cellStyle name="Normal 8" xfId="11"/>
  </cellStyles>
  <dxfs count="1">
    <dxf>
      <font>
        <color theme="7"/>
      </font>
      <fill>
        <patternFill>
          <bgColor theme="7"/>
        </patternFill>
      </fill>
    </dxf>
  </dxfs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externalLink" Target="externalLinks/externalLink1.xml" /><Relationship Id="rId5" Type="http://schemas.openxmlformats.org/officeDocument/2006/relationships/externalLink" Target="externalLinks/externalLink2.xml" /><Relationship Id="rId6" Type="http://schemas.openxmlformats.org/officeDocument/2006/relationships/externalLink" Target="externalLinks/externalLink3.xml" /><Relationship Id="rId7" Type="http://schemas.openxmlformats.org/officeDocument/2006/relationships/externalLink" Target="externalLinks/externalLink4.xml" /><Relationship Id="rId8" Type="http://schemas.openxmlformats.org/officeDocument/2006/relationships/externalLink" Target="externalLinks/externalLink5.xml" /><Relationship Id="rId9" Type="http://schemas.openxmlformats.org/officeDocument/2006/relationships/externalLink" Target="externalLinks/externalLink6.xml" /><Relationship Id="rId10" Type="http://schemas.openxmlformats.org/officeDocument/2006/relationships/externalLink" Target="externalLinks/externalLink7.xml" /><Relationship Id="rId11" Type="http://schemas.openxmlformats.org/officeDocument/2006/relationships/externalLink" Target="externalLinks/externalLink8.xml" /><Relationship Id="rId12" Type="http://schemas.openxmlformats.org/officeDocument/2006/relationships/externalLink" Target="externalLinks/externalLink9.xml" /><Relationship Id="rId13" Type="http://schemas.openxmlformats.org/officeDocument/2006/relationships/externalLink" Target="externalLinks/externalLink10.xml" /><Relationship Id="rId14" Type="http://schemas.openxmlformats.org/officeDocument/2006/relationships/styles" Target="styles.xml" /><Relationship Id="rId15" Type="http://schemas.openxmlformats.org/officeDocument/2006/relationships/theme" Target="theme/theme1.xml" /><Relationship Id="rId16" Type="http://schemas.openxmlformats.org/officeDocument/2006/relationships/calcChain" Target="calcChain.xml" /><Relationship Id="rId17" Type="http://schemas.openxmlformats.org/officeDocument/2006/relationships/sharedStrings" Target="sharedStrings.xml" /><Relationship Id="rId18" Type="http://schemas.openxmlformats.org/officeDocument/2006/relationships/sheetMetadata" Target="metadata.xml" /><Relationship Id="rId19" Type="http://schemas.microsoft.com/office/2006/relationships/vbaProject" Target="vbaProject.bin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31</xdr:row>
      <xdr:rowOff>0</xdr:rowOff>
    </xdr:from>
    <xdr:to>
      <xdr:col>5</xdr:col>
      <xdr:colOff>542925</xdr:colOff>
      <xdr:row>31</xdr:row>
      <xdr:rowOff>0</xdr:rowOff>
    </xdr:to>
    <xdr:sp>
      <xdr:nvSpPr>
        <xdr:cNvPr id="5" name="Rectangle 4"/>
        <xdr:cNvSpPr/>
      </xdr:nvSpPr>
      <xdr:spPr>
        <a:xfrm>
          <a:off x="3943350" y="13439775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</xdr:row>
      <xdr:rowOff>0</xdr:rowOff>
    </xdr:from>
    <xdr:to>
      <xdr:col>5</xdr:col>
      <xdr:colOff>542925</xdr:colOff>
      <xdr:row>30</xdr:row>
      <xdr:rowOff>0</xdr:rowOff>
    </xdr:to>
    <xdr:sp>
      <xdr:nvSpPr>
        <xdr:cNvPr id="6" name="Rectangle 5"/>
        <xdr:cNvSpPr/>
      </xdr:nvSpPr>
      <xdr:spPr>
        <a:xfrm>
          <a:off x="3943350" y="13249275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0</xdr:rowOff>
    </xdr:from>
    <xdr:to>
      <xdr:col>5</xdr:col>
      <xdr:colOff>542925</xdr:colOff>
      <xdr:row>29</xdr:row>
      <xdr:rowOff>0</xdr:rowOff>
    </xdr:to>
    <xdr:sp>
      <xdr:nvSpPr>
        <xdr:cNvPr id="7" name="Rectangle 6"/>
        <xdr:cNvSpPr/>
      </xdr:nvSpPr>
      <xdr:spPr>
        <a:xfrm>
          <a:off x="3943350" y="13058775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</xdr:row>
      <xdr:rowOff>0</xdr:rowOff>
    </xdr:from>
    <xdr:to>
      <xdr:col>5</xdr:col>
      <xdr:colOff>542925</xdr:colOff>
      <xdr:row>28</xdr:row>
      <xdr:rowOff>0</xdr:rowOff>
    </xdr:to>
    <xdr:sp>
      <xdr:nvSpPr>
        <xdr:cNvPr id="8" name="Rectangle 7"/>
        <xdr:cNvSpPr/>
      </xdr:nvSpPr>
      <xdr:spPr>
        <a:xfrm>
          <a:off x="3943350" y="12868275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83185</xdr:colOff>
      <xdr:row>33</xdr:row>
      <xdr:rowOff>0</xdr:rowOff>
    </xdr:from>
    <xdr:to>
      <xdr:col>5</xdr:col>
      <xdr:colOff>549910</xdr:colOff>
      <xdr:row>33</xdr:row>
      <xdr:rowOff>0</xdr:rowOff>
    </xdr:to>
    <xdr:sp>
      <xdr:nvSpPr>
        <xdr:cNvPr id="2" name="Rectangle 4"/>
        <xdr:cNvSpPr/>
      </xdr:nvSpPr>
      <xdr:spPr>
        <a:xfrm>
          <a:off x="4224087" y="20157412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85090</xdr:colOff>
      <xdr:row>32</xdr:row>
      <xdr:rowOff>0</xdr:rowOff>
    </xdr:from>
    <xdr:to>
      <xdr:col>5</xdr:col>
      <xdr:colOff>551815</xdr:colOff>
      <xdr:row>32</xdr:row>
      <xdr:rowOff>0</xdr:rowOff>
    </xdr:to>
    <xdr:sp>
      <xdr:nvSpPr>
        <xdr:cNvPr id="3" name="Rectangle 4"/>
        <xdr:cNvSpPr/>
      </xdr:nvSpPr>
      <xdr:spPr>
        <a:xfrm>
          <a:off x="4226094" y="19016415"/>
          <a:ext cx="466725" cy="152400"/>
        </a:xfrm>
        <a:prstGeom prst="rect"/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0</xdr:rowOff>
    </xdr:from>
    <xdr:to>
      <xdr:col>2</xdr:col>
      <xdr:colOff>309245</xdr:colOff>
      <xdr:row>3</xdr:row>
      <xdr:rowOff>101600</xdr:rowOff>
    </xdr:to>
    <xdr:sp>
      <xdr:nvSpPr>
        <xdr:cNvPr id="12" name="Cuadro de texto 2"/>
        <xdr:cNvSpPr txBox="1">
          <a:spLocks noChangeArrowheads="1"/>
        </xdr:cNvSpPr>
      </xdr:nvSpPr>
      <xdr:spPr bwMode="auto">
        <a:xfrm>
          <a:off x="127000" y="0"/>
          <a:ext cx="1772818" cy="673100"/>
        </a:xfrm>
        <a:prstGeom prst="rect"/>
        <a:noFill/>
        <a:ln w="9525">
          <a:noFill/>
          <a:miter lim="800000"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ts val="1200"/>
            </a:lnSpc>
            <a:spcAft>
              <a:spcPts val="0"/>
            </a:spcAft>
          </a:pPr>
          <a:endParaRPr lang="en-US" sz="28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  <a:latin typeface="Corbel" panose="020B0503020204020204" pitchFamily="34" charset="0"/>
              <a:ea typeface="STKaiti"/>
              <a:cs typeface="Tahoma" panose="020B0604030504040204" pitchFamily="34" charset="0"/>
            </a:rPr>
            <a:t>IE4-MX-017</a:t>
          </a:r>
        </a:p>
        <a:p>
          <a:pPr algn="just">
            <a:lnSpc>
              <a:spcPts val="1200"/>
            </a:lnSpc>
            <a:spcAft>
              <a:spcPts val="0"/>
            </a:spcAft>
          </a:pPr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  <a:latin typeface="Corbel" panose="020B0503020204020204" pitchFamily="34" charset="0"/>
              <a:ea typeface="STKaiti"/>
              <a:cs typeface="Tahoma" panose="020B0604030504040204" pitchFamily="34" charset="0"/>
            </a:rPr>
            <a:t>Version: 00</a:t>
          </a:r>
          <a:endParaRPr lang="es-MX" sz="40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301625</xdr:colOff>
      <xdr:row>2</xdr:row>
      <xdr:rowOff>127000</xdr:rowOff>
    </xdr:from>
    <xdr:to>
      <xdr:col>5</xdr:col>
      <xdr:colOff>63500</xdr:colOff>
      <xdr:row>6</xdr:row>
      <xdr:rowOff>15875</xdr:rowOff>
    </xdr:to>
    <xdr:sp>
      <xdr:nvSpPr>
        <xdr:cNvPr id="2" name="TextBox 9"/>
        <xdr:cNvSpPr txBox="1"/>
      </xdr:nvSpPr>
      <xdr:spPr>
        <a:xfrm>
          <a:off x="949325" y="508000"/>
          <a:ext cx="8991600" cy="650875"/>
        </a:xfrm>
        <a:prstGeom prst="rect"/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MX" sz="3600">
              <a:solidFill>
                <a:schemeClr val="tx1">
                  <a:lumMod val="65000"/>
                  <a:lumOff val="35000"/>
                </a:schemeClr>
              </a:solidFill>
            </a:rPr>
            <a:t>&lt;&lt;PLAN DE MANTENIMIENTO&gt;&gt;</a:t>
          </a:r>
        </a:p>
      </xdr:txBody>
    </xdr:sp>
    <xdr:clientData/>
  </xdr:twoCellAnchor>
  <xdr:twoCellAnchor>
    <xdr:from>
      <xdr:col>0</xdr:col>
      <xdr:colOff>127000</xdr:colOff>
      <xdr:row>0</xdr:row>
      <xdr:rowOff>0</xdr:rowOff>
    </xdr:from>
    <xdr:to>
      <xdr:col>2</xdr:col>
      <xdr:colOff>309245</xdr:colOff>
      <xdr:row>3</xdr:row>
      <xdr:rowOff>101600</xdr:rowOff>
    </xdr:to>
    <xdr:sp>
      <xdr:nvSpPr>
        <xdr:cNvPr id="12" name="Cuadro de texto 2"/>
        <xdr:cNvSpPr txBox="1">
          <a:spLocks noChangeArrowheads="1"/>
        </xdr:cNvSpPr>
      </xdr:nvSpPr>
      <xdr:spPr bwMode="auto">
        <a:xfrm>
          <a:off x="127000" y="0"/>
          <a:ext cx="1772818" cy="673100"/>
        </a:xfrm>
        <a:prstGeom prst="rect"/>
        <a:noFill/>
        <a:ln w="9525">
          <a:noFill/>
          <a:miter lim="800000"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ts val="1200"/>
            </a:lnSpc>
            <a:spcAft>
              <a:spcPts val="0"/>
            </a:spcAft>
          </a:pPr>
          <a:endParaRPr lang="en-US" sz="28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  <a:latin typeface="Corbel" panose="020B0503020204020204" pitchFamily="34" charset="0"/>
              <a:ea typeface="STKaiti"/>
              <a:cs typeface="Tahoma" panose="020B0604030504040204" pitchFamily="34" charset="0"/>
            </a:rPr>
            <a:t>IE4-MX-017</a:t>
          </a:r>
        </a:p>
        <a:p>
          <a:pPr algn="just">
            <a:lnSpc>
              <a:spcPts val="1200"/>
            </a:lnSpc>
            <a:spcAft>
              <a:spcPts val="0"/>
            </a:spcAft>
          </a:pPr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  <a:latin typeface="Corbel" panose="020B0503020204020204" pitchFamily="34" charset="0"/>
              <a:ea typeface="STKaiti"/>
              <a:cs typeface="Tahoma" panose="020B0604030504040204" pitchFamily="34" charset="0"/>
            </a:rPr>
            <a:t>Version: 00</a:t>
          </a:r>
          <a:endParaRPr lang="es-MX" sz="4000">
            <a:solidFill>
              <a:schemeClr val="tx1">
                <a:lumMod val="65000"/>
                <a:lumOff val="35000"/>
              </a:schemeClr>
            </a:solidFill>
            <a:latin typeface="Corbel" panose="020B0503020204020204" pitchFamily="34" charset="0"/>
            <a:ea typeface="STKaiti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&#65279;<?xml version="1.0" encoding="utf-8"?><Relationships xmlns="http://schemas.openxmlformats.org/package/2006/relationships"><Relationship Id="rId1" Type="http://schemas.openxmlformats.org/officeDocument/2006/relationships/externalLinkPath" Target="file:///F:\TEMP\SQAIND.XLS" TargetMode="External" /></Relationships>
</file>

<file path=xl/externalLinks/_rels/externalLink2.xml.rels>&#65279;<?xml version="1.0" encoding="utf-8"?><Relationships xmlns="http://schemas.openxmlformats.org/package/2006/relationships"><Relationship Id="rId1" Type="http://schemas.openxmlformats.org/officeDocument/2006/relationships/externalLinkPath" Target="file:///\\172.24.2.9\Fugra%20Scrap\Documents%20and%20Settings\pmatadamas\Escritorio\muestra.xls" TargetMode="External" /></Relationships>
</file>

<file path=xl/externalLinks/_rels/externalLink3.xml.rels>&#65279;<?xml version="1.0" encoding="utf-8"?><Relationships xmlns="http://schemas.openxmlformats.org/package/2006/relationships"><Relationship Id="rId1" Type="http://schemas.openxmlformats.org/officeDocument/2006/relationships/externalLinkPath" Target="file:///T:\Proyectos%20ARGP1\Synthesis%20ARGP1.xls" TargetMode="External" /></Relationships>
</file>

<file path=xl/externalLinks/_rels/externalLink4.xml.rels>&#65279;<?xml version="1.0" encoding="utf-8"?><Relationships xmlns="http://schemas.openxmlformats.org/package/2006/relationships"><Relationship Id="rId1" Type="http://schemas.openxmlformats.org/officeDocument/2006/relationships/externalLinkPath" Target="file:///\\JOMU\Users\Admin\Documents\Plastic%20Tec\Clientes\Reporte%20Mensuales%20de%20Clientes\2013\10.REPORTES%20DE%20CLIENTES%20OCTUBRE%202013%20VISTA.xlsx" TargetMode="External" /></Relationships>
</file>

<file path=xl/externalLinks/_rels/externalLink5.xml.rels>&#65279;<?xml version="1.0" encoding="utf-8"?><Relationships xmlns="http://schemas.openxmlformats.org/package/2006/relationships"><Relationship Id="rId1" Type="http://schemas.openxmlformats.org/officeDocument/2006/relationships/externalLinkPath" Target="file:///\\172.30.1.15\Calidad_Plasticos_SLP\Users\gleyva\Documents\Administraci&#243;n%20de%20Desempe&#241;o\Evaluaci&#243;n%20de%20Desempe&#241;o%202015\G.%20Leyva\Guadalupe%20Leyva%20Objetivos%202015.xlsm" TargetMode="External" /></Relationships>
</file>

<file path=xl/externalLinks/_rels/externalLink6.xml.rels>&#65279;<?xml version="1.0" encoding="utf-8"?><Relationships xmlns="http://schemas.openxmlformats.org/package/2006/relationships"><Relationship Id="rId1" Type="http://schemas.openxmlformats.org/officeDocument/2006/relationships/externalLinkPath" Target="file:///\\172.30.1.15\Calidad_Plasticos_SLP\Users\dtrejo\Documents\REPORTES%20MENSUAL\ABRIL%202014\DOCUMENTOS%20OK\Calidad%20Fugra%20MARZO%202014.xlsx" TargetMode="External" /></Relationships>
</file>

<file path=xl/externalLinks/_rels/externalLink7.xml.rels>&#65279;<?xml version="1.0" encoding="utf-8"?><Relationships xmlns="http://schemas.openxmlformats.org/package/2006/relationships"><Relationship Id="rId1" Type="http://schemas.openxmlformats.org/officeDocument/2006/relationships/externalLinkPath" Target="file:///\\172.24.2.9\lean_manuf\DATOS\INGENIERIA\INDICADORES%20VITALES\MAQS.INYECC\Ind-U-E-2005\ALUMINIO\Malet&#237;n\Zamak\10.OCTUBRE.REAL.xls" TargetMode="External" /></Relationships>
</file>

<file path=xl/externalLinks/_rels/externalLink8.xml.rels>&#65279;<?xml version="1.0" encoding="utf-8"?><Relationships xmlns="http://schemas.openxmlformats.org/package/2006/relationships"><Relationship Id="rId1" Type="http://schemas.openxmlformats.org/officeDocument/2006/relationships/externalLinkPath" Target="file:///Z:\DATOS\INGENIERIA\INDICADORES%20VITALES\MAQS.INYECC\Ind-U-E-2005\ALUMINIO\Malet&#237;n\Zamak\10.OCTUBRE.REAL.xls" TargetMode="External" /></Relationships>
</file>

<file path=xl/externalLinks/_rels/externalLink9.xml.rels>&#65279;<?xml version="1.0" encoding="utf-8"?><Relationships xmlns="http://schemas.openxmlformats.org/package/2006/relationships"><Relationship Id="rId1" Type="http://schemas.microsoft.com/office/2006/relationships/xlExternalLinkPath/xlPathMissing" Target="Hoja1" TargetMode="External" /></Relationships>
</file>

<file path=xl/externalLinks/_rels/externalLink10.xml.rels>&#65279;<?xml version="1.0" encoding="utf-8"?><Relationships xmlns="http://schemas.openxmlformats.org/package/2006/relationships"><Relationship Id="rId1" Type="http://schemas.microsoft.com/office/2006/relationships/xlExternalLinkPath/xlPathMissing" Target="Maintenance%20Plan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"/>
      <sheetName val="SQAIND"/>
    </sheetNames>
    <sheetDataSet>
      <sheetData sheetId="0">
        <row r="3">
          <cell r="AD3" t="str">
            <v>Jan</v>
          </cell>
          <cell r="AE3" t="str">
            <v>Feb</v>
          </cell>
          <cell r="AF3" t="str">
            <v>Mar</v>
          </cell>
          <cell r="AG3" t="str">
            <v>Apr</v>
          </cell>
          <cell r="AH3" t="str">
            <v>May</v>
          </cell>
          <cell r="AI3" t="str">
            <v>Jun</v>
          </cell>
          <cell r="AJ3" t="str">
            <v>Jul</v>
          </cell>
          <cell r="AK3" t="str">
            <v>Aug</v>
          </cell>
          <cell r="AL3" t="str">
            <v>Sep</v>
          </cell>
          <cell r="AM3" t="str">
            <v>Oct</v>
          </cell>
          <cell r="AN3" t="str">
            <v>Nov</v>
          </cell>
          <cell r="AO3" t="str">
            <v>Dec</v>
          </cell>
          <cell r="AP3" t="str">
            <v>Jan</v>
          </cell>
        </row>
        <row r="4">
          <cell r="AD4">
            <v>280</v>
          </cell>
          <cell r="AE4">
            <v>208</v>
          </cell>
          <cell r="AF4">
            <v>200</v>
          </cell>
          <cell r="AG4">
            <v>385</v>
          </cell>
          <cell r="AH4">
            <v>417</v>
          </cell>
          <cell r="AI4">
            <v>196</v>
          </cell>
          <cell r="AJ4">
            <v>60</v>
          </cell>
          <cell r="AK4">
            <v>75</v>
          </cell>
          <cell r="AL4">
            <v>359</v>
          </cell>
          <cell r="AM4">
            <v>127</v>
          </cell>
          <cell r="AN4">
            <v>95</v>
          </cell>
          <cell r="AO4">
            <v>258</v>
          </cell>
          <cell r="AP4">
            <v>63</v>
          </cell>
        </row>
        <row r="5">
          <cell r="AD5">
            <v>37</v>
          </cell>
          <cell r="AE5">
            <v>104</v>
          </cell>
          <cell r="AF5">
            <v>51</v>
          </cell>
          <cell r="AG5">
            <v>69</v>
          </cell>
          <cell r="AH5">
            <v>88</v>
          </cell>
          <cell r="AI5">
            <v>67</v>
          </cell>
          <cell r="AJ5">
            <v>36</v>
          </cell>
          <cell r="AK5">
            <v>35</v>
          </cell>
          <cell r="AL5">
            <v>54</v>
          </cell>
          <cell r="AM5">
            <v>22</v>
          </cell>
          <cell r="AN5">
            <v>26</v>
          </cell>
          <cell r="AO5">
            <v>27</v>
          </cell>
          <cell r="AP5">
            <v>22</v>
          </cell>
        </row>
        <row r="7">
          <cell r="AD7">
            <v>325</v>
          </cell>
          <cell r="AE7">
            <v>300</v>
          </cell>
          <cell r="AF7">
            <v>275</v>
          </cell>
          <cell r="AG7">
            <v>250</v>
          </cell>
          <cell r="AH7">
            <v>225</v>
          </cell>
          <cell r="AI7">
            <v>200</v>
          </cell>
          <cell r="AJ7">
            <v>250</v>
          </cell>
          <cell r="AK7">
            <v>220</v>
          </cell>
          <cell r="AL7">
            <v>190</v>
          </cell>
          <cell r="AM7">
            <v>160</v>
          </cell>
          <cell r="AN7">
            <v>130</v>
          </cell>
          <cell r="AO7">
            <v>100</v>
          </cell>
          <cell r="AP7">
            <v>160</v>
          </cell>
        </row>
        <row r="8">
          <cell r="AD8">
            <v>405</v>
          </cell>
          <cell r="AE8">
            <v>329</v>
          </cell>
          <cell r="AF8">
            <v>227</v>
          </cell>
          <cell r="AG8">
            <v>268</v>
          </cell>
          <cell r="AH8">
            <v>331</v>
          </cell>
          <cell r="AI8">
            <v>320</v>
          </cell>
          <cell r="AJ8">
            <v>214</v>
          </cell>
          <cell r="AK8">
            <v>119</v>
          </cell>
          <cell r="AL8">
            <v>159</v>
          </cell>
          <cell r="AM8">
            <v>196</v>
          </cell>
          <cell r="AN8">
            <v>199</v>
          </cell>
          <cell r="AO8">
            <v>156</v>
          </cell>
          <cell r="AP8">
            <v>129</v>
          </cell>
        </row>
        <row r="9">
          <cell r="AD9">
            <v>32314</v>
          </cell>
          <cell r="AE9">
            <v>29030</v>
          </cell>
          <cell r="AF9">
            <v>62473</v>
          </cell>
          <cell r="AG9">
            <v>42689</v>
          </cell>
          <cell r="AH9">
            <v>32898</v>
          </cell>
          <cell r="AI9">
            <v>28002</v>
          </cell>
          <cell r="AJ9">
            <v>43694</v>
          </cell>
          <cell r="AK9">
            <v>61096</v>
          </cell>
          <cell r="AL9">
            <v>25585</v>
          </cell>
          <cell r="AM9">
            <v>28849</v>
          </cell>
          <cell r="AN9">
            <v>16981</v>
          </cell>
        </row>
        <row r="12">
          <cell r="AA12" t="str">
            <v>F</v>
          </cell>
          <cell r="AB12" t="str">
            <v>M</v>
          </cell>
          <cell r="AC12" t="str">
            <v>A</v>
          </cell>
          <cell r="AD12" t="str">
            <v>M</v>
          </cell>
          <cell r="AE12" t="str">
            <v>J</v>
          </cell>
          <cell r="AF12" t="str">
            <v>J</v>
          </cell>
          <cell r="AG12" t="str">
            <v>A</v>
          </cell>
          <cell r="AH12" t="str">
            <v>S</v>
          </cell>
          <cell r="AI12" t="str">
            <v>O</v>
          </cell>
          <cell r="AJ12" t="str">
            <v>N</v>
          </cell>
          <cell r="AK12" t="str">
            <v>D</v>
          </cell>
          <cell r="AL12" t="str">
            <v>J</v>
          </cell>
        </row>
        <row r="14">
          <cell r="AA14">
            <v>91.428571428571431</v>
          </cell>
          <cell r="AB14">
            <v>91.17647058823529</v>
          </cell>
          <cell r="AC14">
            <v>91.549295774647888</v>
          </cell>
          <cell r="AD14">
            <v>91.780821917808225</v>
          </cell>
          <cell r="AE14">
            <v>93.150684931506845</v>
          </cell>
          <cell r="AF14">
            <v>94.444444444444443</v>
          </cell>
          <cell r="AG14">
            <v>94.444444444444443</v>
          </cell>
          <cell r="AH14">
            <v>95</v>
          </cell>
          <cell r="AI14">
            <v>96.202531645569621</v>
          </cell>
          <cell r="AJ14">
            <v>98.734177215189874</v>
          </cell>
          <cell r="AK14">
            <v>98.734177215189874</v>
          </cell>
          <cell r="AL14">
            <v>98.734177215189874</v>
          </cell>
        </row>
        <row r="16">
          <cell r="AA16">
            <v>2.8571428571428572</v>
          </cell>
          <cell r="AB16">
            <v>2.9411764705882351</v>
          </cell>
          <cell r="AC16">
            <v>2.8169014084507045</v>
          </cell>
          <cell r="AD16">
            <v>2.7397260273972601</v>
          </cell>
          <cell r="AE16">
            <v>1.3698630136986301</v>
          </cell>
          <cell r="AF16">
            <v>2.7777777777777777</v>
          </cell>
          <cell r="AG16">
            <v>2.7777777777777777</v>
          </cell>
          <cell r="AH16">
            <v>2.5</v>
          </cell>
          <cell r="AI16">
            <v>2.5316455696202533</v>
          </cell>
          <cell r="AJ16">
            <v>0</v>
          </cell>
          <cell r="AK16">
            <v>0</v>
          </cell>
          <cell r="AL16">
            <v>0</v>
          </cell>
        </row>
        <row r="18"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</row>
        <row r="22">
          <cell r="AA22">
            <v>5.7142857142857144</v>
          </cell>
          <cell r="AB22">
            <v>5.8823529411764701</v>
          </cell>
          <cell r="AC22">
            <v>5.6338028169014089</v>
          </cell>
          <cell r="AD22">
            <v>5.4794520547945202</v>
          </cell>
          <cell r="AE22">
            <v>5.4794520547945202</v>
          </cell>
          <cell r="AF22">
            <v>2.7777777777777777</v>
          </cell>
          <cell r="AG22">
            <v>2.7777777777777777</v>
          </cell>
          <cell r="AH22">
            <v>2.5</v>
          </cell>
          <cell r="AI22">
            <v>1.2658227848101267</v>
          </cell>
          <cell r="AJ22">
            <v>1.2658227848101267</v>
          </cell>
          <cell r="AK22">
            <v>1.2658227848101267</v>
          </cell>
          <cell r="AL22">
            <v>1.2658227848101267</v>
          </cell>
        </row>
        <row r="24">
          <cell r="AA24">
            <v>94.285714285714292</v>
          </cell>
          <cell r="AB24">
            <v>94.117647058823536</v>
          </cell>
          <cell r="AC24">
            <v>94.366197183098592</v>
          </cell>
          <cell r="AD24">
            <v>94.520547945205479</v>
          </cell>
          <cell r="AE24">
            <v>94.520547945205479</v>
          </cell>
          <cell r="AF24">
            <v>97.222222222222229</v>
          </cell>
          <cell r="AG24">
            <v>97.222222222222229</v>
          </cell>
          <cell r="AH24">
            <v>97.5</v>
          </cell>
          <cell r="AI24">
            <v>98.734177215189874</v>
          </cell>
          <cell r="AJ24">
            <v>98.734177215189874</v>
          </cell>
          <cell r="AK24">
            <v>98.734177215189874</v>
          </cell>
          <cell r="AL24">
            <v>98.734177215189874</v>
          </cell>
        </row>
        <row r="26"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90</v>
          </cell>
          <cell r="AL26">
            <v>90</v>
          </cell>
        </row>
        <row r="30">
          <cell r="AA30" t="str">
            <v>F</v>
          </cell>
          <cell r="AB30" t="str">
            <v>M</v>
          </cell>
          <cell r="AC30" t="str">
            <v>A</v>
          </cell>
          <cell r="AD30" t="str">
            <v>M</v>
          </cell>
          <cell r="AE30" t="str">
            <v>J</v>
          </cell>
          <cell r="AF30" t="str">
            <v>J</v>
          </cell>
          <cell r="AG30" t="str">
            <v>A</v>
          </cell>
          <cell r="AH30" t="str">
            <v>S</v>
          </cell>
          <cell r="AI30" t="str">
            <v>O</v>
          </cell>
          <cell r="AJ30" t="str">
            <v>N</v>
          </cell>
          <cell r="AK30" t="str">
            <v>D</v>
          </cell>
          <cell r="AL30" t="str">
            <v>J</v>
          </cell>
          <cell r="AM30" t="str">
            <v>F</v>
          </cell>
          <cell r="AN30" t="str">
            <v>M</v>
          </cell>
          <cell r="AO30" t="str">
            <v>A</v>
          </cell>
          <cell r="AP30" t="str">
            <v>M</v>
          </cell>
          <cell r="AQ30" t="str">
            <v>J</v>
          </cell>
          <cell r="AR30" t="str">
            <v>J</v>
          </cell>
          <cell r="AS30" t="str">
            <v>A</v>
          </cell>
          <cell r="AT30" t="str">
            <v>S</v>
          </cell>
          <cell r="AU30" t="str">
            <v>O</v>
          </cell>
          <cell r="AV30" t="str">
            <v>N</v>
          </cell>
          <cell r="AW30" t="str">
            <v>D</v>
          </cell>
        </row>
        <row r="33">
          <cell r="AA33">
            <v>50</v>
          </cell>
          <cell r="AB33">
            <v>55.769230769230774</v>
          </cell>
          <cell r="AC33">
            <v>57.692307692307686</v>
          </cell>
          <cell r="AD33">
            <v>60.12658227848101</v>
          </cell>
          <cell r="AE33">
            <v>62.5</v>
          </cell>
          <cell r="AF33">
            <v>64.197530864197532</v>
          </cell>
          <cell r="AG33">
            <v>66.060606060606062</v>
          </cell>
          <cell r="AH33">
            <v>69.047619047619051</v>
          </cell>
          <cell r="AI33">
            <v>70.05988023952095</v>
          </cell>
          <cell r="AJ33">
            <v>71.764705882352942</v>
          </cell>
          <cell r="AK33">
            <v>75</v>
          </cell>
          <cell r="AL33">
            <v>72.486772486772495</v>
          </cell>
          <cell r="AM33">
            <v>75.252525252525245</v>
          </cell>
          <cell r="AN33">
            <v>70</v>
          </cell>
          <cell r="AO33">
            <v>70.098039215686271</v>
          </cell>
          <cell r="AP33">
            <v>66.666666666666657</v>
          </cell>
          <cell r="AQ33">
            <v>69.302325581395351</v>
          </cell>
          <cell r="AR33">
            <v>61.977186311787072</v>
          </cell>
          <cell r="AS33">
            <v>64.940239043824704</v>
          </cell>
          <cell r="AT33">
            <v>63.706563706563699</v>
          </cell>
          <cell r="AU33">
            <v>63.200000000000003</v>
          </cell>
          <cell r="AV33">
            <v>60.852713178294572</v>
          </cell>
          <cell r="AW33">
            <v>62.790697674418603</v>
          </cell>
        </row>
        <row r="34">
          <cell r="AA34">
            <v>54</v>
          </cell>
          <cell r="AB34">
            <v>56</v>
          </cell>
          <cell r="AC34">
            <v>58</v>
          </cell>
          <cell r="AD34">
            <v>60</v>
          </cell>
          <cell r="AE34">
            <v>62</v>
          </cell>
          <cell r="AF34">
            <v>64</v>
          </cell>
          <cell r="AG34">
            <v>66</v>
          </cell>
          <cell r="AH34">
            <v>68</v>
          </cell>
          <cell r="AI34">
            <v>70</v>
          </cell>
          <cell r="AJ34">
            <v>72</v>
          </cell>
          <cell r="AK34">
            <v>75</v>
          </cell>
          <cell r="AL34">
            <v>74</v>
          </cell>
          <cell r="AM34">
            <v>75</v>
          </cell>
          <cell r="AN34">
            <v>76</v>
          </cell>
          <cell r="AO34">
            <v>77</v>
          </cell>
          <cell r="AP34">
            <v>78</v>
          </cell>
          <cell r="AQ34">
            <v>80</v>
          </cell>
          <cell r="AR34">
            <v>55</v>
          </cell>
          <cell r="AS34">
            <v>60</v>
          </cell>
          <cell r="AT34">
            <v>65</v>
          </cell>
          <cell r="AU34">
            <v>70</v>
          </cell>
          <cell r="AV34">
            <v>75</v>
          </cell>
          <cell r="AW34">
            <v>80</v>
          </cell>
        </row>
        <row r="38">
          <cell r="B38" t="str">
            <v>Jan</v>
          </cell>
          <cell r="C38" t="str">
            <v>Feb</v>
          </cell>
          <cell r="D38" t="str">
            <v>Mar</v>
          </cell>
          <cell r="E38" t="str">
            <v>Apr</v>
          </cell>
          <cell r="F38" t="str">
            <v>May</v>
          </cell>
          <cell r="G38" t="str">
            <v>Jun</v>
          </cell>
        </row>
        <row r="39">
          <cell r="B39">
            <v>40</v>
          </cell>
          <cell r="C39">
            <v>36</v>
          </cell>
          <cell r="D39">
            <v>32</v>
          </cell>
        </row>
        <row r="40">
          <cell r="B40">
            <v>43</v>
          </cell>
          <cell r="C40">
            <v>35</v>
          </cell>
          <cell r="D40">
            <v>57</v>
          </cell>
        </row>
        <row r="43">
          <cell r="Z43" t="str">
            <v>Jan</v>
          </cell>
          <cell r="AA43" t="str">
            <v>Feb</v>
          </cell>
          <cell r="AB43" t="str">
            <v>Mar</v>
          </cell>
          <cell r="AC43" t="str">
            <v>Abr</v>
          </cell>
          <cell r="AD43" t="str">
            <v>May</v>
          </cell>
          <cell r="AE43" t="str">
            <v>Jun</v>
          </cell>
          <cell r="AF43" t="str">
            <v>Jul</v>
          </cell>
          <cell r="AG43" t="str">
            <v>Aug</v>
          </cell>
          <cell r="AH43" t="str">
            <v>Sep</v>
          </cell>
          <cell r="AI43" t="str">
            <v>Oct</v>
          </cell>
          <cell r="AJ43" t="str">
            <v>Nov.</v>
          </cell>
          <cell r="AK43" t="str">
            <v>Dec.</v>
          </cell>
          <cell r="AL43" t="str">
            <v>Jan</v>
          </cell>
        </row>
        <row r="45">
          <cell r="Z45">
            <v>86.04651162790698</v>
          </cell>
          <cell r="AA45">
            <v>84.523809523809518</v>
          </cell>
          <cell r="AB45">
            <v>85.365853658536579</v>
          </cell>
          <cell r="AC45">
            <v>80</v>
          </cell>
          <cell r="AD45">
            <v>74.418604651162795</v>
          </cell>
          <cell r="AE45">
            <v>78.313253012048193</v>
          </cell>
          <cell r="AF45">
            <v>74.698795180722882</v>
          </cell>
          <cell r="AG45">
            <v>77.108433734939766</v>
          </cell>
          <cell r="AH45">
            <v>72.527472527472526</v>
          </cell>
          <cell r="AI45">
            <v>71.111111111111114</v>
          </cell>
          <cell r="AJ45">
            <v>80</v>
          </cell>
          <cell r="AK45">
            <v>80</v>
          </cell>
          <cell r="AL45">
            <v>81.111111111111114</v>
          </cell>
        </row>
        <row r="47">
          <cell r="Z47">
            <v>8.1395348837209305</v>
          </cell>
          <cell r="AA47">
            <v>9.5238095238095237</v>
          </cell>
          <cell r="AB47">
            <v>7.3170731707317067</v>
          </cell>
          <cell r="AC47">
            <v>10.588235294117647</v>
          </cell>
          <cell r="AD47">
            <v>13.953488372093023</v>
          </cell>
          <cell r="AE47">
            <v>13.253012048192772</v>
          </cell>
          <cell r="AF47">
            <v>24.096385542168676</v>
          </cell>
          <cell r="AG47">
            <v>19.277108433734941</v>
          </cell>
          <cell r="AH47">
            <v>20.87912087912088</v>
          </cell>
          <cell r="AI47">
            <v>23.333333333333332</v>
          </cell>
          <cell r="AJ47">
            <v>15.555555555555555</v>
          </cell>
          <cell r="AK47">
            <v>12.222222222222221</v>
          </cell>
          <cell r="AL47">
            <v>14.444444444444443</v>
          </cell>
        </row>
        <row r="49">
          <cell r="Z49">
            <v>5.8139534883720927</v>
          </cell>
          <cell r="AA49">
            <v>5.9523809523809517</v>
          </cell>
          <cell r="AB49">
            <v>7.3170731707317067</v>
          </cell>
          <cell r="AC49">
            <v>9.4117647058823533</v>
          </cell>
          <cell r="AD49">
            <v>11.627906976744185</v>
          </cell>
          <cell r="AE49">
            <v>8.4337349397590362</v>
          </cell>
          <cell r="AF49">
            <v>1.2048192771084338</v>
          </cell>
          <cell r="AG49">
            <v>3.6144578313253009</v>
          </cell>
          <cell r="AH49">
            <v>6.593406593406594</v>
          </cell>
          <cell r="AI49">
            <v>5.5555555555555554</v>
          </cell>
          <cell r="AJ49">
            <v>4.4444444444444446</v>
          </cell>
          <cell r="AK49">
            <v>7.7777777777777777</v>
          </cell>
          <cell r="AL49">
            <v>4.4444444444444446</v>
          </cell>
        </row>
        <row r="52">
          <cell r="D52" t="str">
            <v>Mar</v>
          </cell>
          <cell r="E52" t="str">
            <v>Apr</v>
          </cell>
          <cell r="F52" t="str">
            <v>May</v>
          </cell>
          <cell r="G52" t="str">
            <v>Jun</v>
          </cell>
        </row>
        <row r="53">
          <cell r="D53">
            <v>15</v>
          </cell>
        </row>
        <row r="54">
          <cell r="D54">
            <v>11</v>
          </cell>
        </row>
        <row r="55">
          <cell r="D55">
            <v>8</v>
          </cell>
        </row>
        <row r="122">
          <cell r="D122" t="str">
            <v>J</v>
          </cell>
          <cell r="E122" t="str">
            <v>A</v>
          </cell>
          <cell r="F122" t="str">
            <v>S</v>
          </cell>
          <cell r="G122" t="str">
            <v>O</v>
          </cell>
          <cell r="H122" t="str">
            <v>N</v>
          </cell>
          <cell r="I122" t="str">
            <v>D</v>
          </cell>
        </row>
        <row r="123">
          <cell r="D123">
            <v>9</v>
          </cell>
          <cell r="E123">
            <v>4</v>
          </cell>
          <cell r="F123">
            <v>7</v>
          </cell>
          <cell r="G123">
            <v>13</v>
          </cell>
          <cell r="H123">
            <v>8</v>
          </cell>
          <cell r="I123">
            <v>11</v>
          </cell>
        </row>
        <row r="124">
          <cell r="D124">
            <v>11</v>
          </cell>
          <cell r="E124">
            <v>24</v>
          </cell>
          <cell r="F124">
            <v>21</v>
          </cell>
          <cell r="G124">
            <v>24</v>
          </cell>
          <cell r="H124">
            <v>17</v>
          </cell>
          <cell r="I124">
            <v>16</v>
          </cell>
        </row>
        <row r="125">
          <cell r="D125">
            <v>2</v>
          </cell>
          <cell r="E125">
            <v>2</v>
          </cell>
          <cell r="F125">
            <v>0</v>
          </cell>
          <cell r="G125">
            <v>1</v>
          </cell>
          <cell r="H125">
            <v>1</v>
          </cell>
          <cell r="I125">
            <v>1</v>
          </cell>
        </row>
      </sheetData>
      <sheetData refreshError="1"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fectos, materiales"/>
      <sheetName val="ZPPMC"/>
      <sheetName val="QUERY"/>
      <sheetName val="TAB. QUERY DEL 01.01 - 30.03"/>
      <sheetName val="WO TR2K1"/>
      <sheetName val="M. I. ZVK3"/>
      <sheetName val="P32"/>
      <sheetName val="HOUSING TOYOTA"/>
      <sheetName val="WO ZV7"/>
      <sheetName val="Defectos,_materiales"/>
      <sheetName val="TAB__QUERY_DEL_01_01_-_30_03"/>
      <sheetName val="WO_TR2K1"/>
      <sheetName val="M__I__ZVK3"/>
      <sheetName val="HOUSING_TOYOTA"/>
      <sheetName val="WO_ZV7"/>
    </sheetNames>
    <sheetDataSet>
      <sheetData refreshError="1" sheetId="0"/>
      <sheetData sheetId="1"/>
      <sheetData sheetId="2"/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Synthesis"/>
      <sheetName val="Customers"/>
      <sheetName val="Synthesis database"/>
      <sheetName val="Purchase Synthesis"/>
      <sheetName val="Analysis"/>
      <sheetName val="Synthesis_database"/>
      <sheetName val="Purchase_Synthesis"/>
    </sheetNames>
    <sheetDataSet>
      <sheetData refreshError="1" sheetId="0"/>
      <sheetData refreshError="1" sheetId="1">
        <row r="6">
          <cell r="H6">
            <v>37441</v>
          </cell>
        </row>
        <row r="7">
          <cell r="A7" t="str">
            <v>SITE</v>
          </cell>
          <cell r="B7" t="str">
            <v>PROJECT</v>
          </cell>
          <cell r="C7" t="str">
            <v>CUSTOMER</v>
          </cell>
          <cell r="D7" t="str">
            <v>PROJECT MANAGER</v>
          </cell>
          <cell r="E7" t="str">
            <v>RISK LEVEL</v>
          </cell>
          <cell r="F7" t="str">
            <v>NB of HIGH RISK</v>
          </cell>
          <cell r="G7" t="str">
            <v>LAST UPDATED</v>
          </cell>
          <cell r="H7" t="str">
            <v>PHASE</v>
          </cell>
          <cell r="I7" t="str">
            <v>RESP. LEVEL</v>
          </cell>
        </row>
      </sheetData>
      <sheetData sheetId="2"/>
      <sheetData refreshError="1" sheetId="3">
        <row r="1">
          <cell r="A1" t="str">
            <v>SITE</v>
          </cell>
          <cell r="B1" t="str">
            <v>PROJECT</v>
          </cell>
          <cell r="C1" t="str">
            <v>CUSTOMER</v>
          </cell>
          <cell r="D1" t="str">
            <v>PROJECT MANAGER</v>
          </cell>
          <cell r="E1" t="str">
            <v>RISK LEVEL</v>
          </cell>
          <cell r="F1" t="str">
            <v>LAST UPDATED</v>
          </cell>
          <cell r="G1" t="str">
            <v>PHASE</v>
          </cell>
          <cell r="H1" t="str">
            <v>RESP. LEVEL</v>
          </cell>
          <cell r="I1" t="str">
            <v>ECO</v>
          </cell>
          <cell r="J1" t="str">
            <v>PLA</v>
          </cell>
          <cell r="K1" t="str">
            <v>SUP</v>
          </cell>
          <cell r="L1" t="str">
            <v>TEC</v>
          </cell>
          <cell r="M1" t="str">
            <v>ORG</v>
          </cell>
          <cell r="N1" t="str">
            <v>RES</v>
          </cell>
          <cell r="O1" t="str">
            <v>PRO</v>
          </cell>
          <cell r="P1" t="str">
            <v>CUS</v>
          </cell>
          <cell r="Q1" t="str">
            <v>OTH</v>
          </cell>
          <cell r="R1" t="str">
            <v>RESPECO</v>
          </cell>
          <cell r="S1" t="str">
            <v>RESPPLA</v>
          </cell>
          <cell r="T1" t="str">
            <v>RESPSUP</v>
          </cell>
          <cell r="U1" t="str">
            <v>RESPTEC</v>
          </cell>
          <cell r="V1" t="str">
            <v>RESPORG</v>
          </cell>
          <cell r="W1" t="str">
            <v>RESPRES</v>
          </cell>
          <cell r="X1" t="str">
            <v>RESPPRO</v>
          </cell>
          <cell r="Y1" t="str">
            <v>RESPCUS</v>
          </cell>
          <cell r="Z1" t="str">
            <v>RESPOTH</v>
          </cell>
          <cell r="AA1" t="str">
            <v>PCC</v>
          </cell>
          <cell r="AB1">
            <v>0</v>
          </cell>
          <cell r="AC1">
            <v>1</v>
          </cell>
          <cell r="AD1">
            <v>2</v>
          </cell>
          <cell r="AE1">
            <v>3</v>
          </cell>
          <cell r="AF1" t="str">
            <v>4A</v>
          </cell>
          <cell r="AG1" t="str">
            <v>4B</v>
          </cell>
        </row>
      </sheetData>
      <sheetData refreshError="1" sheetId="4">
        <row r="2">
          <cell r="A2" t="str">
            <v>SITE</v>
          </cell>
          <cell r="B2" t="str">
            <v>PROJECT</v>
          </cell>
          <cell r="C2" t="str">
            <v>CUSTOMER</v>
          </cell>
          <cell r="D2" t="str">
            <v>PROJECT MANAGER</v>
          </cell>
          <cell r="E2" t="str">
            <v>RISK LEVEL</v>
          </cell>
          <cell r="F2" t="str">
            <v>LAST UPDATED</v>
          </cell>
          <cell r="G2" t="str">
            <v>PHASE</v>
          </cell>
          <cell r="H2" t="str">
            <v>RISK LEVEL SUPPLIER</v>
          </cell>
          <cell r="I2" t="str">
            <v xml:space="preserve">  Analysis</v>
          </cell>
          <cell r="J2" t="str">
            <v xml:space="preserve">  Action</v>
          </cell>
          <cell r="K2" t="str">
            <v xml:space="preserve">  Pilote</v>
          </cell>
          <cell r="L2" t="str">
            <v>Resp</v>
          </cell>
          <cell r="M2" t="str">
            <v xml:space="preserve"> Date</v>
          </cell>
          <cell r="N2" t="str">
            <v xml:space="preserve"> Status</v>
          </cell>
        </row>
      </sheetData>
      <sheetData sheetId="5"/>
      <sheetData sheetId="6">
        <row r="1">
          <cell r="A1" t="str">
            <v>SITE</v>
          </cell>
        </row>
      </sheetData>
      <sheetData sheetId="7">
        <row r="2">
          <cell r="A2" t="str">
            <v>SITE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Nissan AGS General L12F"/>
      <sheetName val="Nissan AGS General X02A"/>
      <sheetName val="VW SILAO General"/>
      <sheetName val="COWL TOP B02A"/>
      <sheetName val="INLET WATER B02A HR"/>
      <sheetName val="COWL TOP L02B"/>
      <sheetName val="COWL TOP L12F"/>
      <sheetName val="CAP COWL TOP L12F"/>
      <sheetName val="PROTECTOR ASSY FR FENDER"/>
      <sheetName val="CLOSING REAR BUMPER SR"/>
      <sheetName val="COVER FR FDR"/>
      <sheetName val="COVER FR DOOR INNER"/>
      <sheetName val="CARCAZA TERMOSTATO"/>
      <sheetName val="PIVOTE"/>
      <sheetName val="LISTADO DE FALLAS"/>
      <sheetName val="MON QUALITY CLAIMS"/>
      <sheetName val="OFICIALES NMEX"/>
      <sheetName val="NO OFICIALES NMEX"/>
      <sheetName val="Desvio de Scrap"/>
      <sheetName val="Desvio de Scrap Graficos"/>
      <sheetName val="RELACION RACKS"/>
      <sheetName val="Equipo Vacio"/>
      <sheetName val="Efecti Contramedidas"/>
      <sheetName val="RP131011-1"/>
      <sheetName val="BOM"/>
      <sheetName val="RP131025-2"/>
      <sheetName val="RP131028-3"/>
      <sheetName val="RP131031-4"/>
      <sheetName val="RP131031-5"/>
      <sheetName val="Listados"/>
      <sheetName val="Catalogo"/>
      <sheetName val="Nissan_AGS_General_L12F"/>
      <sheetName val="Nissan_AGS_General_X02A"/>
      <sheetName val="VW_SILAO_General"/>
      <sheetName val="COWL_TOP_B02A"/>
      <sheetName val="INLET_WATER_B02A_HR"/>
      <sheetName val="COWL_TOP_L02B"/>
      <sheetName val="COWL_TOP_L12F"/>
      <sheetName val="CAP_COWL_TOP_L12F"/>
      <sheetName val="PROTECTOR_ASSY_FR_FENDER"/>
      <sheetName val="CLOSING_REAR_BUMPER_SR"/>
      <sheetName val="COVER_FR_FDR"/>
      <sheetName val="COVER_FR_DOOR_INNER"/>
      <sheetName val="CARCAZA_TERMOSTATO"/>
      <sheetName val="LISTADO_DE_FALLAS"/>
      <sheetName val="MON_QUALITY_CLAIMS"/>
      <sheetName val="OFICIALES_NMEX"/>
      <sheetName val="NO_OFICIALES_NMEX"/>
      <sheetName val="Desvio_de_Scrap"/>
      <sheetName val="Desvio_de_Scrap_Graficos"/>
      <sheetName val="RELACION_RACKS"/>
      <sheetName val="Equipo_Vacio"/>
      <sheetName val="Efecti_Contramedi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Part Number</v>
          </cell>
        </row>
        <row r="3">
          <cell r="B3">
            <v>0</v>
          </cell>
        </row>
        <row r="4">
          <cell r="B4" t="str">
            <v>130483HC0A</v>
          </cell>
        </row>
        <row r="5">
          <cell r="B5" t="str">
            <v>638403SH0A</v>
          </cell>
        </row>
        <row r="6">
          <cell r="B6" t="str">
            <v>638413SH0A</v>
          </cell>
        </row>
        <row r="7">
          <cell r="B7" t="str">
            <v>668203SG0A</v>
          </cell>
        </row>
        <row r="8">
          <cell r="B8" t="str">
            <v>668223SH0A</v>
          </cell>
        </row>
        <row r="9">
          <cell r="B9" t="str">
            <v>668233SH0A</v>
          </cell>
        </row>
        <row r="10">
          <cell r="B10" t="str">
            <v>668621HB1A</v>
          </cell>
        </row>
        <row r="11">
          <cell r="B11" t="str">
            <v>668621HL1A</v>
          </cell>
        </row>
        <row r="12">
          <cell r="B12" t="str">
            <v>668623SG0A</v>
          </cell>
        </row>
        <row r="13">
          <cell r="B13" t="str">
            <v>668943SG0A</v>
          </cell>
        </row>
        <row r="14">
          <cell r="B14" t="str">
            <v>668953SG0A</v>
          </cell>
        </row>
        <row r="15">
          <cell r="B15" t="str">
            <v>758923SH0A</v>
          </cell>
        </row>
        <row r="16">
          <cell r="B16" t="str">
            <v>788183SG0A</v>
          </cell>
        </row>
        <row r="17">
          <cell r="B17" t="str">
            <v>788183SG1A</v>
          </cell>
        </row>
        <row r="18">
          <cell r="B18" t="str">
            <v>788193SG0A</v>
          </cell>
        </row>
        <row r="19">
          <cell r="B19" t="str">
            <v>788193SG1A</v>
          </cell>
        </row>
        <row r="20">
          <cell r="B20" t="str">
            <v>802923SG0A</v>
          </cell>
        </row>
        <row r="21">
          <cell r="B21" t="str">
            <v>802933SG0A</v>
          </cell>
        </row>
        <row r="22">
          <cell r="B22" t="str">
            <v>06K 121 111 M</v>
          </cell>
        </row>
        <row r="23">
          <cell r="B23">
            <v>204232925</v>
          </cell>
        </row>
        <row r="24">
          <cell r="B24">
            <v>991810233001</v>
          </cell>
        </row>
        <row r="25">
          <cell r="B25">
            <v>23150698</v>
          </cell>
        </row>
        <row r="26">
          <cell r="B26">
            <v>991810233501</v>
          </cell>
        </row>
        <row r="27">
          <cell r="B27">
            <v>991810233701</v>
          </cell>
        </row>
        <row r="28">
          <cell r="B28">
            <v>991810233101</v>
          </cell>
        </row>
        <row r="29">
          <cell r="B29" t="str">
            <v>B0902654</v>
          </cell>
        </row>
        <row r="30">
          <cell r="B30" t="str">
            <v>B0902652</v>
          </cell>
        </row>
        <row r="31">
          <cell r="B31" t="str">
            <v>B0902655</v>
          </cell>
        </row>
      </sheetData>
      <sheetData sheetId="25"/>
      <sheetData sheetId="26"/>
      <sheetData sheetId="27"/>
      <sheetData sheetId="28"/>
      <sheetData refreshError="1" sheetId="29"/>
      <sheetData refreshError="1"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vo"/>
      <sheetName val="Evaluación de desempeño"/>
      <sheetName val="Desarrollo de personal"/>
      <sheetName val="Objetivos sugeridos x Área"/>
      <sheetName val="Evaluación de desempeño (2)"/>
      <sheetName val="Hoja1"/>
      <sheetName val="Evaluación_de_desempeño"/>
      <sheetName val="Desarrollo_de_personal"/>
      <sheetName val="Objetivos_sugeridos_x_Área"/>
      <sheetName val="Evaluación_de_desempeño_(2)"/>
    </sheetNames>
    <sheetDataSet>
      <sheetData sheetId="0"/>
      <sheetData sheetId="1"/>
      <sheetData refreshError="1" sheetId="2"/>
      <sheetData refreshError="1" sheetId="3"/>
      <sheetData sheetId="4">
        <row r="12">
          <cell r="AC12">
            <v>18.75</v>
          </cell>
        </row>
      </sheetData>
      <sheetData sheetId="5">
        <row r="1">
          <cell r="A1" t="str">
            <v>Incremental</v>
          </cell>
          <cell r="B1" t="str">
            <v>Suma de resultados mensuales</v>
          </cell>
        </row>
        <row r="2">
          <cell r="A2" t="str">
            <v>Decreciente</v>
          </cell>
          <cell r="B2" t="str">
            <v>Promedio de resultados mensuales</v>
          </cell>
        </row>
        <row r="3">
          <cell r="B3" t="str">
            <v>Último resultado reportado</v>
          </cell>
        </row>
      </sheetData>
      <sheetData sheetId="6"/>
      <sheetData sheetId="7"/>
      <sheetData sheetId="8"/>
      <sheetData sheetId="9">
        <row r="12">
          <cell r="AC12">
            <v>18.75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CALIDAD(1)"/>
      <sheetName val="CALIDAD (2)"/>
      <sheetName val="CALIDAD exp"/>
      <sheetName val="Graficas"/>
      <sheetName val="Fugra"/>
      <sheetName val="Data Consolidated"/>
      <sheetName val="Hoja5"/>
      <sheetName val="Charts (2)"/>
      <sheetName val="Pivot"/>
      <sheetName val="Charts"/>
      <sheetName val="Hoja1"/>
      <sheetName val="Info Para Presentación"/>
      <sheetName val="CALIDAD_(2)"/>
      <sheetName val="CALIDAD_exp"/>
      <sheetName val="Data_Consolidated"/>
      <sheetName val="Charts_(2)"/>
      <sheetName val="Info_Para_Presentación"/>
    </sheetNames>
    <sheetDataSet>
      <sheetData sheetId="0"/>
      <sheetData sheetId="1"/>
      <sheetData sheetId="2"/>
      <sheetData sheetId="3"/>
      <sheetData sheetId="4"/>
      <sheetData sheetId="5">
        <row r="2">
          <cell r="R2" t="str">
            <v>Q1 ´12</v>
          </cell>
          <cell r="S2" t="str">
            <v>Q2 ´12</v>
          </cell>
          <cell r="T2" t="str">
            <v>Q3 ´12</v>
          </cell>
          <cell r="U2" t="str">
            <v>Q4 ´12</v>
          </cell>
          <cell r="V2" t="str">
            <v>Q1 ´13</v>
          </cell>
          <cell r="Z2" t="str">
            <v>Abr</v>
          </cell>
          <cell r="AA2" t="str">
            <v>May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R2" t="str">
            <v>Q1 ´12</v>
          </cell>
        </row>
      </sheetData>
      <sheetData sheetId="15"/>
      <sheetData sheetId="16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1-20T"/>
      <sheetName val="2-20T"/>
      <sheetName val="3-80T"/>
      <sheetName val="4-50T"/>
      <sheetName val="5-80T"/>
      <sheetName val="6.-50T"/>
      <sheetName val="7.-50T"/>
      <sheetName val="8.-200T"/>
      <sheetName val="9.-200T"/>
      <sheetName val="10.-200T"/>
      <sheetName val="11.-200T"/>
      <sheetName val="12.-200T"/>
      <sheetName val="13-200T-NUEVA"/>
      <sheetName val="14-50T"/>
      <sheetName val="15.-80T"/>
      <sheetName val="16-250T"/>
      <sheetName val="Graf-UTIL"/>
      <sheetName val="Graf-Efic"/>
      <sheetName val="Graf-Paro"/>
      <sheetName val="ENTRADAS HTA VS. HRA MAQ. "/>
      <sheetName val="TIPO PROV 20XX"/>
      <sheetName val="Enero"/>
      <sheetName val="Febrero"/>
      <sheetName val="Marzo"/>
      <sheetName val="Abril"/>
      <sheetName val="Mayo"/>
      <sheetName val="Junio"/>
      <sheetName val="Julio"/>
      <sheetName val="Hoja 2"/>
      <sheetName val="Listas"/>
      <sheetName val="Set up"/>
      <sheetName val="Roles"/>
      <sheetName val="Definitions"/>
      <sheetName val="DATA"/>
      <sheetName val="Áreas"/>
      <sheetName val="Hoja1"/>
      <sheetName val="ER comparativo"/>
      <sheetName val="Catálogo"/>
      <sheetName val="MATRIZ DE VALIDACIÓN"/>
      <sheetName val="6_-50T"/>
      <sheetName val="7_-50T"/>
      <sheetName val="8_-200T"/>
      <sheetName val="9_-200T"/>
      <sheetName val="10_-200T"/>
      <sheetName val="11_-200T"/>
      <sheetName val="12_-200T"/>
      <sheetName val="15_-80T"/>
      <sheetName val="Datos Estadias"/>
      <sheetName val="DO NOT DELETE"/>
      <sheetName val="Hoja2"/>
      <sheetName val="NOMBRES"/>
      <sheetName val="MATRIZ DE VALIDACION"/>
      <sheetName val="6_-50T1"/>
      <sheetName val="7_-50T1"/>
      <sheetName val="8_-200T1"/>
      <sheetName val="9_-200T1"/>
      <sheetName val="10_-200T1"/>
      <sheetName val="11_-200T1"/>
      <sheetName val="12_-200T1"/>
      <sheetName val="15_-80T1"/>
      <sheetName val="ENTRADAS_HTA_VS__HRA_MAQ__"/>
      <sheetName val="TIPO_PROV_20XX"/>
      <sheetName val="Hoja_2"/>
      <sheetName val="Set_up"/>
      <sheetName val="ER_comparativo"/>
      <sheetName val="MATRIZ_DE_VALIDACIÓN"/>
      <sheetName val="Datos_Estadias"/>
      <sheetName val="DO_NOT_DELETE"/>
      <sheetName val="6_-50T3"/>
      <sheetName val="7_-50T3"/>
      <sheetName val="8_-200T3"/>
      <sheetName val="9_-200T3"/>
      <sheetName val="10_-200T3"/>
      <sheetName val="11_-200T3"/>
      <sheetName val="12_-200T3"/>
      <sheetName val="15_-80T3"/>
      <sheetName val="ENTRADAS_HTA_VS__HRA_MAQ__2"/>
      <sheetName val="TIPO_PROV_20XX2"/>
      <sheetName val="Hoja_22"/>
      <sheetName val="Set_up2"/>
      <sheetName val="ER_comparativo2"/>
      <sheetName val="MATRIZ_DE_VALIDACIÓN2"/>
      <sheetName val="Datos_Estadias2"/>
      <sheetName val="DO_NOT_DELETE2"/>
      <sheetName val="6_-50T2"/>
      <sheetName val="7_-50T2"/>
      <sheetName val="8_-200T2"/>
      <sheetName val="9_-200T2"/>
      <sheetName val="10_-200T2"/>
      <sheetName val="11_-200T2"/>
      <sheetName val="12_-200T2"/>
      <sheetName val="15_-80T2"/>
      <sheetName val="ENTRADAS_HTA_VS__HRA_MAQ__1"/>
      <sheetName val="TIPO_PROV_20XX1"/>
      <sheetName val="Hoja_21"/>
      <sheetName val="Set_up1"/>
      <sheetName val="ER_comparativo1"/>
      <sheetName val="MATRIZ_DE_VALIDACIÓN1"/>
      <sheetName val="Datos_Estadias1"/>
      <sheetName val="DO_NOT_DELETE1"/>
    </sheetNames>
    <sheetDataSet>
      <sheetData sheetId="0"/>
      <sheetData refreshError="1" sheetId="1">
        <row r="56">
          <cell r="B56">
            <v>1074</v>
          </cell>
          <cell r="C56" t="str">
            <v>ROTOR</v>
          </cell>
        </row>
        <row r="57">
          <cell r="B57">
            <v>1111</v>
          </cell>
          <cell r="C57" t="str">
            <v>ROTOR</v>
          </cell>
        </row>
        <row r="58">
          <cell r="B58">
            <v>1708</v>
          </cell>
          <cell r="C58" t="str">
            <v>CUERPO</v>
          </cell>
        </row>
        <row r="59">
          <cell r="B59">
            <v>1709</v>
          </cell>
          <cell r="C59" t="str">
            <v>CUERPO</v>
          </cell>
        </row>
        <row r="60">
          <cell r="B60" t="str">
            <v>1770-U</v>
          </cell>
          <cell r="C60" t="str">
            <v>CUERPO</v>
          </cell>
        </row>
        <row r="61">
          <cell r="B61">
            <v>1742</v>
          </cell>
          <cell r="C61" t="str">
            <v>CUERPO</v>
          </cell>
        </row>
        <row r="62">
          <cell r="B62">
            <v>1753</v>
          </cell>
          <cell r="C62" t="str">
            <v>VASTAGO</v>
          </cell>
        </row>
        <row r="63">
          <cell r="B63">
            <v>1767</v>
          </cell>
          <cell r="C63" t="str">
            <v>VASTAGO</v>
          </cell>
        </row>
        <row r="64">
          <cell r="B64">
            <v>1767</v>
          </cell>
          <cell r="C64" t="str">
            <v>VASTAGO</v>
          </cell>
        </row>
        <row r="65">
          <cell r="B65">
            <v>1768</v>
          </cell>
          <cell r="C65" t="str">
            <v>VASTAGO</v>
          </cell>
        </row>
        <row r="66">
          <cell r="B66">
            <v>1768</v>
          </cell>
          <cell r="C66" t="str">
            <v>VASTAGO</v>
          </cell>
        </row>
        <row r="67">
          <cell r="B67">
            <v>1769</v>
          </cell>
          <cell r="C67" t="str">
            <v>VASTAGO</v>
          </cell>
        </row>
        <row r="68">
          <cell r="B68">
            <v>1770</v>
          </cell>
          <cell r="C68" t="str">
            <v>CUERPO</v>
          </cell>
        </row>
        <row r="69">
          <cell r="B69">
            <v>1770</v>
          </cell>
          <cell r="C69" t="str">
            <v>CUERPO</v>
          </cell>
        </row>
        <row r="70">
          <cell r="B70">
            <v>1770</v>
          </cell>
          <cell r="C70" t="str">
            <v>CUERPO</v>
          </cell>
        </row>
        <row r="71">
          <cell r="B71">
            <v>1770</v>
          </cell>
          <cell r="C71" t="str">
            <v xml:space="preserve">CUERPO </v>
          </cell>
        </row>
        <row r="72">
          <cell r="B72">
            <v>1773</v>
          </cell>
          <cell r="C72" t="str">
            <v>CUERPO</v>
          </cell>
        </row>
        <row r="73">
          <cell r="B73">
            <v>1774</v>
          </cell>
          <cell r="C73" t="str">
            <v>CUERPO</v>
          </cell>
        </row>
        <row r="74">
          <cell r="B74">
            <v>1774</v>
          </cell>
          <cell r="C74" t="str">
            <v>CUERPO</v>
          </cell>
        </row>
        <row r="75">
          <cell r="B75">
            <v>1844</v>
          </cell>
          <cell r="C75" t="str">
            <v>CUERPO</v>
          </cell>
        </row>
        <row r="76">
          <cell r="B76">
            <v>32160</v>
          </cell>
          <cell r="C76" t="str">
            <v>CUERPO</v>
          </cell>
        </row>
        <row r="77">
          <cell r="B77">
            <v>32202</v>
          </cell>
          <cell r="C77" t="str">
            <v>CUERPO MOLDEADO</v>
          </cell>
        </row>
        <row r="78">
          <cell r="B78">
            <v>32441</v>
          </cell>
          <cell r="C78" t="str">
            <v>CUERPO ZAMAK</v>
          </cell>
        </row>
        <row r="79">
          <cell r="B79">
            <v>117697</v>
          </cell>
          <cell r="C79" t="str">
            <v>CURSOR</v>
          </cell>
        </row>
        <row r="80">
          <cell r="B80">
            <v>33030106</v>
          </cell>
          <cell r="C80" t="str">
            <v>MANIFOLD BRACKET</v>
          </cell>
        </row>
        <row r="81">
          <cell r="B81">
            <v>33030107</v>
          </cell>
          <cell r="C81" t="str">
            <v>MANIFOLD BRACKET</v>
          </cell>
        </row>
        <row r="82">
          <cell r="B82">
            <v>33030127</v>
          </cell>
          <cell r="C82" t="str">
            <v>T-STUECK-TAB</v>
          </cell>
        </row>
        <row r="83">
          <cell r="B83">
            <v>33030128</v>
          </cell>
          <cell r="C83" t="str">
            <v>T-STUECK-TAB</v>
          </cell>
        </row>
        <row r="84">
          <cell r="B84">
            <v>33033139</v>
          </cell>
          <cell r="C84" t="str">
            <v>MANIFOLD BRACKET</v>
          </cell>
        </row>
        <row r="85">
          <cell r="B85">
            <v>53007966</v>
          </cell>
          <cell r="C85" t="str">
            <v>ALLEGE DROIT</v>
          </cell>
        </row>
        <row r="86">
          <cell r="B86">
            <v>53630177</v>
          </cell>
          <cell r="C86" t="str">
            <v>GEAR BOX 4GA</v>
          </cell>
        </row>
        <row r="87">
          <cell r="B87">
            <v>53670307</v>
          </cell>
          <cell r="C87" t="str">
            <v xml:space="preserve">SOCLE BRUT  UPN</v>
          </cell>
        </row>
        <row r="88">
          <cell r="B88">
            <v>53670347</v>
          </cell>
          <cell r="C88" t="str">
            <v>SOCLE BRUT NS</v>
          </cell>
        </row>
        <row r="89">
          <cell r="B89">
            <v>53671247</v>
          </cell>
          <cell r="C89" t="str">
            <v xml:space="preserve">GEAR BOX </v>
          </cell>
        </row>
        <row r="90">
          <cell r="B90">
            <v>53671347</v>
          </cell>
          <cell r="C90" t="str">
            <v>GEAR BOX GMT 360</v>
          </cell>
        </row>
        <row r="91">
          <cell r="B91">
            <v>54630427</v>
          </cell>
          <cell r="C91" t="str">
            <v>PIVOT HOUSING DS</v>
          </cell>
        </row>
        <row r="92">
          <cell r="B92">
            <v>54630437</v>
          </cell>
          <cell r="C92" t="str">
            <v>PIVOT HOUSING PS</v>
          </cell>
        </row>
        <row r="93">
          <cell r="B93">
            <v>54630477</v>
          </cell>
          <cell r="C93" t="str">
            <v xml:space="preserve">PIVOT  WJ</v>
          </cell>
        </row>
        <row r="94">
          <cell r="B94">
            <v>54630487</v>
          </cell>
          <cell r="C94" t="str">
            <v>PIVOT HOUSING WJ</v>
          </cell>
        </row>
        <row r="95">
          <cell r="B95">
            <v>54631287</v>
          </cell>
          <cell r="C95" t="str">
            <v>PIVOT KJ</v>
          </cell>
        </row>
        <row r="96">
          <cell r="B96">
            <v>54631297</v>
          </cell>
          <cell r="C96" t="str">
            <v>PIVOT KJ</v>
          </cell>
        </row>
        <row r="97">
          <cell r="B97">
            <v>54632007</v>
          </cell>
          <cell r="C97" t="str">
            <v>PIVOT HOUSING</v>
          </cell>
        </row>
        <row r="98">
          <cell r="B98">
            <v>54632017</v>
          </cell>
          <cell r="C98" t="str">
            <v>PIVOT HOUSING</v>
          </cell>
        </row>
        <row r="99">
          <cell r="B99" t="str">
            <v>063015</v>
          </cell>
          <cell r="C99" t="str">
            <v>PIE DE ESPEJO L</v>
          </cell>
        </row>
        <row r="100">
          <cell r="B100" t="str">
            <v>063064</v>
          </cell>
          <cell r="C100" t="str">
            <v>PIE DE ESPEJO R</v>
          </cell>
        </row>
        <row r="101">
          <cell r="B101" t="str">
            <v>067009</v>
          </cell>
          <cell r="C101" t="str">
            <v>PIE DE ESPEJO L</v>
          </cell>
        </row>
        <row r="102">
          <cell r="B102" t="str">
            <v>067010</v>
          </cell>
          <cell r="C102" t="str">
            <v>PIE DE ESPEJO R</v>
          </cell>
        </row>
        <row r="103">
          <cell r="B103" t="str">
            <v>10500 257650</v>
          </cell>
          <cell r="C103" t="str">
            <v>INT. JALON M-14</v>
          </cell>
        </row>
        <row r="104">
          <cell r="B104" t="str">
            <v>10500 257850</v>
          </cell>
          <cell r="C104" t="str">
            <v>INT. JALON M-10</v>
          </cell>
        </row>
        <row r="105">
          <cell r="B105" t="str">
            <v>10500 26864 0</v>
          </cell>
          <cell r="C105" t="str">
            <v>CORREDERA (P/A2)</v>
          </cell>
        </row>
        <row r="106">
          <cell r="B106" t="str">
            <v>10500 26946 0</v>
          </cell>
          <cell r="C106" t="str">
            <v>INSERTO (P/A2)</v>
          </cell>
        </row>
        <row r="107">
          <cell r="B107" t="str">
            <v>10500 28184 1</v>
          </cell>
          <cell r="C107" t="str">
            <v>CUERPO CONMUT. (A2)</v>
          </cell>
        </row>
        <row r="108">
          <cell r="B108" t="str">
            <v>10569 26949 0</v>
          </cell>
          <cell r="C108" t="str">
            <v>PALANCA DIR</v>
          </cell>
        </row>
        <row r="109">
          <cell r="B109" t="str">
            <v>113 823 329</v>
          </cell>
          <cell r="C109" t="str">
            <v>GUIA SUPERIOR</v>
          </cell>
        </row>
        <row r="110">
          <cell r="B110" t="str">
            <v>1-542179 A</v>
          </cell>
          <cell r="C110" t="str">
            <v>GROUND BASE</v>
          </cell>
        </row>
        <row r="111">
          <cell r="B111" t="str">
            <v>1753-A</v>
          </cell>
          <cell r="C111" t="str">
            <v>VASTAGO</v>
          </cell>
        </row>
        <row r="112">
          <cell r="B112" t="str">
            <v>1767-V</v>
          </cell>
          <cell r="C112" t="str">
            <v>VASTAGO</v>
          </cell>
        </row>
        <row r="113">
          <cell r="B113" t="str">
            <v>1768-B</v>
          </cell>
          <cell r="C113" t="str">
            <v>VASTAGO</v>
          </cell>
        </row>
        <row r="114">
          <cell r="B114" t="str">
            <v>19K1305</v>
          </cell>
          <cell r="C114" t="str">
            <v>FRAME</v>
          </cell>
        </row>
        <row r="115">
          <cell r="B115" t="str">
            <v>1C0827469</v>
          </cell>
          <cell r="C115" t="str">
            <v>STELLELEMENT</v>
          </cell>
        </row>
        <row r="116">
          <cell r="B116" t="str">
            <v>1CO827469</v>
          </cell>
          <cell r="C116" t="str">
            <v>STELLELEMENT</v>
          </cell>
        </row>
        <row r="117">
          <cell r="B117" t="str">
            <v>1CO827627</v>
          </cell>
          <cell r="C117" t="str">
            <v>BOLZEN</v>
          </cell>
        </row>
        <row r="118">
          <cell r="B118" t="str">
            <v>2.16574.00</v>
          </cell>
          <cell r="C118" t="str">
            <v>TAPA BOMBA</v>
          </cell>
        </row>
        <row r="119">
          <cell r="B119" t="str">
            <v>2.17616.00</v>
          </cell>
          <cell r="C119" t="str">
            <v>BASE BOMBA</v>
          </cell>
        </row>
        <row r="120">
          <cell r="B120" t="str">
            <v>2.19324.00</v>
          </cell>
          <cell r="C120" t="str">
            <v>TAPA TRIANGULAR</v>
          </cell>
        </row>
        <row r="121">
          <cell r="B121" t="str">
            <v>2.20020.00</v>
          </cell>
          <cell r="C121" t="str">
            <v>BASE CARBURADOR</v>
          </cell>
        </row>
        <row r="122">
          <cell r="B122" t="str">
            <v>2.21788.00</v>
          </cell>
          <cell r="C122" t="str">
            <v>CAJA DE VALVULA</v>
          </cell>
        </row>
        <row r="123">
          <cell r="B123" t="str">
            <v>2.21978.00</v>
          </cell>
          <cell r="C123" t="str">
            <v>BASE BOMBA</v>
          </cell>
        </row>
        <row r="124">
          <cell r="B124" t="str">
            <v>2.23933.00</v>
          </cell>
          <cell r="C124" t="str">
            <v>BASE BOMBA</v>
          </cell>
        </row>
        <row r="125">
          <cell r="B125" t="str">
            <v>2.23933.00R</v>
          </cell>
          <cell r="C125" t="str">
            <v>BASE BOMBA</v>
          </cell>
        </row>
        <row r="126">
          <cell r="B126" t="str">
            <v>2.29328.52</v>
          </cell>
          <cell r="C126" t="str">
            <v>VENTURY</v>
          </cell>
        </row>
        <row r="127">
          <cell r="B127" t="str">
            <v>2.29673.00</v>
          </cell>
          <cell r="C127" t="str">
            <v>TAPON</v>
          </cell>
        </row>
        <row r="128">
          <cell r="B128" t="str">
            <v>2.30774.00</v>
          </cell>
          <cell r="C128" t="str">
            <v>TAPA TRIANGULAR</v>
          </cell>
        </row>
        <row r="129">
          <cell r="B129" t="str">
            <v>2.33088.00</v>
          </cell>
          <cell r="C129" t="str">
            <v>VENTURY</v>
          </cell>
        </row>
        <row r="130">
          <cell r="B130" t="str">
            <v>2.33471.00</v>
          </cell>
          <cell r="C130" t="str">
            <v>TAPA CARBURADOR</v>
          </cell>
        </row>
        <row r="131">
          <cell r="B131" t="str">
            <v>2.33664.00</v>
          </cell>
          <cell r="C131" t="str">
            <v>CUERPO VALVULA</v>
          </cell>
        </row>
        <row r="132">
          <cell r="B132" t="str">
            <v>2.34362.00</v>
          </cell>
          <cell r="C132" t="str">
            <v>DIFUSOR</v>
          </cell>
        </row>
        <row r="133">
          <cell r="B133" t="str">
            <v>2.35224.00</v>
          </cell>
          <cell r="C133" t="str">
            <v>TAPA</v>
          </cell>
        </row>
        <row r="134">
          <cell r="B134" t="str">
            <v>2.35259.00</v>
          </cell>
          <cell r="C134" t="str">
            <v>TAPA</v>
          </cell>
        </row>
        <row r="135">
          <cell r="B135" t="str">
            <v>2.35294.00</v>
          </cell>
          <cell r="C135" t="str">
            <v>CUERPO VALVULA</v>
          </cell>
        </row>
        <row r="136">
          <cell r="B136" t="str">
            <v>2.35303.00</v>
          </cell>
          <cell r="C136" t="str">
            <v>TAPA CARBURADOR</v>
          </cell>
        </row>
        <row r="137">
          <cell r="B137" t="str">
            <v>2.35320.00</v>
          </cell>
          <cell r="C137" t="str">
            <v>BASE CARBURADOR</v>
          </cell>
        </row>
        <row r="138">
          <cell r="B138" t="str">
            <v>2.35371.00</v>
          </cell>
          <cell r="C138" t="str">
            <v>BASE CARBURADOR</v>
          </cell>
        </row>
        <row r="139">
          <cell r="B139" t="str">
            <v>2.35748.01</v>
          </cell>
          <cell r="C139" t="str">
            <v>PLACA INTERMEDIA</v>
          </cell>
        </row>
        <row r="140">
          <cell r="B140" t="str">
            <v>2.36179.12</v>
          </cell>
          <cell r="C140" t="str">
            <v>TUBO DE INYECCION</v>
          </cell>
        </row>
        <row r="141">
          <cell r="B141" t="str">
            <v>2.38282.00</v>
          </cell>
          <cell r="C141" t="str">
            <v>PREDIFUSOR 1/2</v>
          </cell>
        </row>
        <row r="142">
          <cell r="B142" t="str">
            <v>2.38283.01</v>
          </cell>
          <cell r="C142" t="str">
            <v>PREDIFUSOR 1/2</v>
          </cell>
        </row>
        <row r="143">
          <cell r="B143" t="str">
            <v>2.M1007.00</v>
          </cell>
          <cell r="C143" t="str">
            <v>CABEZA BOMBA</v>
          </cell>
        </row>
        <row r="144">
          <cell r="B144" t="str">
            <v>2.M1013.00</v>
          </cell>
          <cell r="C144" t="str">
            <v>BASE BOMBA</v>
          </cell>
        </row>
        <row r="145">
          <cell r="B145" t="str">
            <v>2.M1033.00</v>
          </cell>
          <cell r="C145" t="str">
            <v>BASE BOMBA</v>
          </cell>
        </row>
        <row r="146">
          <cell r="B146" t="str">
            <v>2.M1038.00</v>
          </cell>
          <cell r="C146" t="str">
            <v>CABEZA BOMBA</v>
          </cell>
        </row>
        <row r="147">
          <cell r="B147" t="str">
            <v>2.M1043.00</v>
          </cell>
          <cell r="C147" t="str">
            <v>BASE BOMBA</v>
          </cell>
        </row>
        <row r="148">
          <cell r="B148" t="str">
            <v>2.M1072.00</v>
          </cell>
          <cell r="C148" t="str">
            <v>CABEZA BOMBA</v>
          </cell>
        </row>
        <row r="149">
          <cell r="B149" t="str">
            <v>2.M1077.00</v>
          </cell>
          <cell r="C149" t="str">
            <v>BASE BOMBA</v>
          </cell>
        </row>
        <row r="150">
          <cell r="B150" t="str">
            <v>2.M1083.00</v>
          </cell>
          <cell r="C150" t="str">
            <v>BASE BOMBA</v>
          </cell>
        </row>
        <row r="151">
          <cell r="B151" t="str">
            <v>2.M1105.00</v>
          </cell>
          <cell r="C151" t="str">
            <v>BASE BOMBA</v>
          </cell>
        </row>
        <row r="152">
          <cell r="B152" t="str">
            <v>2.M1259.00</v>
          </cell>
          <cell r="C152" t="str">
            <v>TAPA CARBURADOR</v>
          </cell>
        </row>
        <row r="153">
          <cell r="B153" t="str">
            <v>2-113418 A</v>
          </cell>
          <cell r="C153" t="str">
            <v>CYLINDER</v>
          </cell>
        </row>
        <row r="154">
          <cell r="B154" t="str">
            <v>2-143401 A</v>
          </cell>
          <cell r="C154" t="str">
            <v>GROUND BASE</v>
          </cell>
        </row>
        <row r="155">
          <cell r="B155" t="str">
            <v>2-143402 A</v>
          </cell>
          <cell r="C155" t="str">
            <v>GROUND BASE</v>
          </cell>
        </row>
        <row r="156">
          <cell r="B156" t="str">
            <v>2-143866 A</v>
          </cell>
          <cell r="C156" t="str">
            <v>GROUND BASE</v>
          </cell>
        </row>
        <row r="157">
          <cell r="B157" t="str">
            <v>2-144060 A</v>
          </cell>
          <cell r="C157" t="str">
            <v>GROUND BASE</v>
          </cell>
        </row>
        <row r="158">
          <cell r="B158" t="str">
            <v>2-542459 A</v>
          </cell>
          <cell r="C158" t="str">
            <v>GROUND BASE</v>
          </cell>
        </row>
        <row r="159">
          <cell r="B159" t="str">
            <v>28L4583</v>
          </cell>
          <cell r="C159" t="str">
            <v>FRAME</v>
          </cell>
        </row>
        <row r="160">
          <cell r="B160" t="str">
            <v>28L4583</v>
          </cell>
          <cell r="C160" t="str">
            <v>FRAME</v>
          </cell>
        </row>
        <row r="161">
          <cell r="B161" t="str">
            <v>28L4583</v>
          </cell>
          <cell r="C161" t="str">
            <v>FRAME</v>
          </cell>
        </row>
        <row r="162">
          <cell r="B162" t="str">
            <v>3.18190.00</v>
          </cell>
          <cell r="C162" t="str">
            <v>TOPE DE VALVULA</v>
          </cell>
        </row>
        <row r="163">
          <cell r="B163" t="str">
            <v>3.21788.00</v>
          </cell>
          <cell r="C163" t="str">
            <v>CAJA DE VALVULA</v>
          </cell>
        </row>
        <row r="164">
          <cell r="B164" t="str">
            <v>3.21879.00</v>
          </cell>
          <cell r="C164" t="str">
            <v>TOPE VALVULA</v>
          </cell>
        </row>
        <row r="165">
          <cell r="B165" t="str">
            <v>3.31664.00</v>
          </cell>
          <cell r="C165" t="str">
            <v>TAPA TERMOSTATO</v>
          </cell>
        </row>
        <row r="166">
          <cell r="B166" t="str">
            <v>3.34362.00</v>
          </cell>
          <cell r="C166" t="str">
            <v>DIFUSOR</v>
          </cell>
        </row>
        <row r="167">
          <cell r="B167" t="str">
            <v>3.35748.01</v>
          </cell>
          <cell r="C167" t="str">
            <v>PLACA INTERMEDIA</v>
          </cell>
        </row>
        <row r="168">
          <cell r="B168" t="str">
            <v>3.36717.00</v>
          </cell>
          <cell r="C168" t="str">
            <v>PERNO FIJADOR ESP.</v>
          </cell>
        </row>
        <row r="169">
          <cell r="B169" t="str">
            <v>3.38834.00</v>
          </cell>
          <cell r="C169" t="str">
            <v>TAPA BI</v>
          </cell>
        </row>
        <row r="170">
          <cell r="B170" t="str">
            <v>3.M1174.00</v>
          </cell>
          <cell r="C170" t="str">
            <v>EJE DE MEMBRANA</v>
          </cell>
        </row>
        <row r="171">
          <cell r="B171" t="str">
            <v>3.M1840.00</v>
          </cell>
          <cell r="C171" t="str">
            <v>CORREDRA DERECHA</v>
          </cell>
        </row>
        <row r="172">
          <cell r="B172" t="str">
            <v>3.M1841.00</v>
          </cell>
          <cell r="C172" t="str">
            <v>CORREDRA IZQUIERDA</v>
          </cell>
        </row>
        <row r="173">
          <cell r="B173" t="str">
            <v>3-112539 A</v>
          </cell>
          <cell r="C173" t="str">
            <v>GROUND BASE</v>
          </cell>
        </row>
        <row r="174">
          <cell r="B174" t="str">
            <v>3-113038 A</v>
          </cell>
          <cell r="C174" t="str">
            <v>BODY (TROP)</v>
          </cell>
        </row>
        <row r="175">
          <cell r="B175" t="str">
            <v>3-113338 A</v>
          </cell>
          <cell r="C175" t="str">
            <v>BODY (S/TROP)</v>
          </cell>
        </row>
        <row r="176">
          <cell r="B176" t="str">
            <v>3-122410 A</v>
          </cell>
          <cell r="C176" t="str">
            <v>BODY</v>
          </cell>
        </row>
        <row r="177">
          <cell r="B177" t="str">
            <v>3-122786 A</v>
          </cell>
          <cell r="C177" t="str">
            <v>GROUND BASE</v>
          </cell>
        </row>
        <row r="178">
          <cell r="B178" t="str">
            <v>3-122987 A</v>
          </cell>
          <cell r="C178" t="str">
            <v>BODY</v>
          </cell>
        </row>
        <row r="179">
          <cell r="B179" t="str">
            <v>3-123002 B</v>
          </cell>
          <cell r="C179" t="str">
            <v>BODY</v>
          </cell>
        </row>
        <row r="180">
          <cell r="B180" t="str">
            <v>3-123105 A</v>
          </cell>
          <cell r="C180" t="str">
            <v>GROUND BASE</v>
          </cell>
        </row>
        <row r="181">
          <cell r="B181" t="str">
            <v>3-143395 A</v>
          </cell>
          <cell r="C181" t="str">
            <v>CYLINDER</v>
          </cell>
        </row>
        <row r="182">
          <cell r="B182" t="str">
            <v>3-143400 A</v>
          </cell>
          <cell r="C182" t="str">
            <v>GROUND BASE</v>
          </cell>
        </row>
        <row r="183">
          <cell r="B183" t="str">
            <v>3-143820 A</v>
          </cell>
          <cell r="C183" t="str">
            <v>CYLINDER</v>
          </cell>
        </row>
        <row r="184">
          <cell r="B184" t="str">
            <v>3-143865 A</v>
          </cell>
          <cell r="C184" t="str">
            <v>CYLINDER</v>
          </cell>
        </row>
        <row r="185">
          <cell r="B185" t="str">
            <v>3-144451 A/B</v>
          </cell>
          <cell r="C185" t="str">
            <v>BODY</v>
          </cell>
        </row>
        <row r="186">
          <cell r="B186" t="str">
            <v>3-144589 A</v>
          </cell>
          <cell r="C186" t="str">
            <v>CYLINDER</v>
          </cell>
        </row>
        <row r="187">
          <cell r="B187" t="str">
            <v>3-144922 A</v>
          </cell>
          <cell r="C187" t="str">
            <v>GROUND BASE</v>
          </cell>
        </row>
        <row r="188">
          <cell r="B188" t="str">
            <v>3-144923 A</v>
          </cell>
          <cell r="C188" t="str">
            <v>GROUND BASE</v>
          </cell>
        </row>
        <row r="189">
          <cell r="B189" t="str">
            <v>3-540439 A</v>
          </cell>
          <cell r="C189" t="str">
            <v>CYLINDER</v>
          </cell>
        </row>
        <row r="190">
          <cell r="B190" t="str">
            <v>3-540866 A</v>
          </cell>
          <cell r="C190" t="str">
            <v>GROUND BASE</v>
          </cell>
        </row>
        <row r="191">
          <cell r="B191" t="str">
            <v>3-542246 A</v>
          </cell>
          <cell r="C191" t="str">
            <v>CYLINDER</v>
          </cell>
        </row>
        <row r="192">
          <cell r="B192" t="str">
            <v>3-542397 A</v>
          </cell>
          <cell r="C192" t="str">
            <v>GROUND BASE</v>
          </cell>
        </row>
        <row r="193">
          <cell r="B193" t="str">
            <v>3-542702 A</v>
          </cell>
          <cell r="C193" t="str">
            <v>GROUND BASE</v>
          </cell>
        </row>
        <row r="194">
          <cell r="B194" t="str">
            <v>3-542826 A</v>
          </cell>
          <cell r="C194" t="str">
            <v>CYLINDER</v>
          </cell>
        </row>
        <row r="195">
          <cell r="B195" t="str">
            <v>3-543188 A</v>
          </cell>
          <cell r="C195" t="str">
            <v>GROUND BASE</v>
          </cell>
        </row>
        <row r="196">
          <cell r="B196" t="str">
            <v>3-543367 A</v>
          </cell>
          <cell r="C196" t="str">
            <v>CYLINDER</v>
          </cell>
        </row>
        <row r="197">
          <cell r="B197" t="str">
            <v>3M230011 A</v>
          </cell>
          <cell r="C197" t="str">
            <v>ADJUSTER JOINT</v>
          </cell>
        </row>
        <row r="198">
          <cell r="B198" t="str">
            <v>3U110235 A</v>
          </cell>
          <cell r="C198" t="str">
            <v>GROUND BASE</v>
          </cell>
        </row>
        <row r="199">
          <cell r="B199" t="str">
            <v>3U110286 A</v>
          </cell>
          <cell r="C199" t="str">
            <v>GROUND BASE</v>
          </cell>
        </row>
        <row r="200">
          <cell r="B200" t="str">
            <v>3U540383 A</v>
          </cell>
          <cell r="C200" t="str">
            <v>GROUND BASE</v>
          </cell>
        </row>
        <row r="201">
          <cell r="B201" t="str">
            <v>4-112044 A</v>
          </cell>
          <cell r="C201" t="str">
            <v>GROUND BASE</v>
          </cell>
        </row>
        <row r="202">
          <cell r="B202" t="str">
            <v>4-112554 A</v>
          </cell>
          <cell r="C202" t="str">
            <v>MTG NUT</v>
          </cell>
        </row>
        <row r="203">
          <cell r="B203" t="str">
            <v>4-113504 A</v>
          </cell>
          <cell r="C203" t="str">
            <v>GROUND BASE</v>
          </cell>
        </row>
        <row r="204">
          <cell r="B204" t="str">
            <v>4-113654 A</v>
          </cell>
          <cell r="C204" t="str">
            <v>GROUND BASE</v>
          </cell>
        </row>
        <row r="205">
          <cell r="B205" t="str">
            <v>4-142629 A</v>
          </cell>
          <cell r="C205" t="str">
            <v>CYLINDER</v>
          </cell>
        </row>
        <row r="206">
          <cell r="B206" t="str">
            <v>4-143564 A</v>
          </cell>
          <cell r="C206" t="str">
            <v>NECK COLLAR</v>
          </cell>
        </row>
        <row r="207">
          <cell r="B207" t="str">
            <v>4-540427 A</v>
          </cell>
          <cell r="C207" t="str">
            <v>ADAPTER</v>
          </cell>
        </row>
        <row r="208">
          <cell r="B208" t="str">
            <v>58443.01.1</v>
          </cell>
          <cell r="C208" t="str">
            <v>DIFUSOR</v>
          </cell>
        </row>
        <row r="209">
          <cell r="B209" t="str">
            <v>8 266 571</v>
          </cell>
          <cell r="C209" t="str">
            <v>CUERPO L</v>
          </cell>
        </row>
        <row r="210">
          <cell r="B210" t="str">
            <v>8 266 572</v>
          </cell>
          <cell r="C210" t="str">
            <v>CUERPO R</v>
          </cell>
        </row>
        <row r="211">
          <cell r="B211" t="str">
            <v>8 266 573</v>
          </cell>
          <cell r="C211" t="str">
            <v>CONTRATOPE L</v>
          </cell>
        </row>
        <row r="212">
          <cell r="B212" t="str">
            <v>8 266 574</v>
          </cell>
          <cell r="C212" t="str">
            <v>CONTRATOPE R</v>
          </cell>
        </row>
        <row r="213">
          <cell r="B213" t="str">
            <v>AC59004 DO</v>
          </cell>
          <cell r="C213" t="str">
            <v>CASING CAP</v>
          </cell>
        </row>
        <row r="214">
          <cell r="B214" t="str">
            <v>AC59005 DO</v>
          </cell>
          <cell r="C214" t="str">
            <v>CASING CAP</v>
          </cell>
        </row>
        <row r="215">
          <cell r="B215" t="str">
            <v>AC59006 DA1</v>
          </cell>
          <cell r="C215" t="str">
            <v>CASING CAP</v>
          </cell>
        </row>
        <row r="216">
          <cell r="B216" t="str">
            <v>AC59007 DA1</v>
          </cell>
          <cell r="C216" t="str">
            <v>CASING CAP</v>
          </cell>
        </row>
        <row r="217">
          <cell r="B217" t="str">
            <v>AC59015 DO1</v>
          </cell>
          <cell r="C217" t="str">
            <v>CASING CAP</v>
          </cell>
        </row>
        <row r="218">
          <cell r="B218" t="str">
            <v>B-00122-02</v>
          </cell>
          <cell r="C218" t="str">
            <v>CAPSULA</v>
          </cell>
        </row>
        <row r="219">
          <cell r="B219" t="str">
            <v>E400000 D</v>
          </cell>
          <cell r="C219" t="str">
            <v>PALA</v>
          </cell>
        </row>
        <row r="220">
          <cell r="B220" t="str">
            <v>E4081002 C</v>
          </cell>
          <cell r="C220" t="str">
            <v>SOCKET BOW</v>
          </cell>
        </row>
        <row r="221">
          <cell r="B221" t="str">
            <v>E4081002 E</v>
          </cell>
          <cell r="C221" t="str">
            <v>SOCKET BOW</v>
          </cell>
        </row>
        <row r="222">
          <cell r="B222" t="str">
            <v>E4081002 F</v>
          </cell>
          <cell r="C222" t="str">
            <v>SOCKET BOW</v>
          </cell>
        </row>
        <row r="223">
          <cell r="B223" t="str">
            <v>E4081002 G</v>
          </cell>
          <cell r="C223" t="str">
            <v>SOCKET BOW</v>
          </cell>
        </row>
        <row r="224">
          <cell r="B224" t="str">
            <v>E4081006 B</v>
          </cell>
          <cell r="C224" t="str">
            <v>CAJA FIJADORA</v>
          </cell>
        </row>
        <row r="225">
          <cell r="B225" t="str">
            <v>E4093004 C</v>
          </cell>
          <cell r="C225" t="str">
            <v>DRIVER</v>
          </cell>
        </row>
        <row r="226">
          <cell r="B226" t="str">
            <v>E4093005C</v>
          </cell>
          <cell r="C226" t="str">
            <v>PALANCA DE CAJUELA</v>
          </cell>
        </row>
        <row r="227">
          <cell r="B227" t="str">
            <v>E4093006B</v>
          </cell>
          <cell r="C227" t="str">
            <v>SPRING SOCKET</v>
          </cell>
        </row>
        <row r="228">
          <cell r="B228" t="str">
            <v>MX4092001B</v>
          </cell>
          <cell r="C228" t="str">
            <v>GEHÁUSE</v>
          </cell>
        </row>
        <row r="229">
          <cell r="B229" t="str">
            <v>N0501811</v>
          </cell>
          <cell r="C229" t="str">
            <v>BRACKET</v>
          </cell>
        </row>
        <row r="230">
          <cell r="B230" t="str">
            <v>N0501839</v>
          </cell>
          <cell r="C230" t="str">
            <v>PALANCA DE CAJUELA</v>
          </cell>
        </row>
        <row r="231">
          <cell r="B231" t="str">
            <v>N0501970</v>
          </cell>
          <cell r="C231" t="str">
            <v>HOUSSING</v>
          </cell>
        </row>
        <row r="232">
          <cell r="B232" t="str">
            <v>P0888611</v>
          </cell>
          <cell r="C232" t="str">
            <v>CONTRAPESO</v>
          </cell>
        </row>
        <row r="233">
          <cell r="B233" t="str">
            <v>R20294.00.0</v>
          </cell>
          <cell r="C233" t="str">
            <v>TAPA CORRECTOR</v>
          </cell>
        </row>
        <row r="234">
          <cell r="B234" t="str">
            <v>R4080-25</v>
          </cell>
          <cell r="C234" t="str">
            <v>TERMINAL DE CUADRO</v>
          </cell>
        </row>
        <row r="235">
          <cell r="B235" t="str">
            <v>R53246.00.0</v>
          </cell>
          <cell r="C235" t="str">
            <v>CUERPO CORRECTOR</v>
          </cell>
        </row>
        <row r="236">
          <cell r="B236" t="str">
            <v>R53496.00.0</v>
          </cell>
          <cell r="C236" t="str">
            <v>TAPA ENRIQUECEDORA</v>
          </cell>
        </row>
        <row r="237">
          <cell r="B237" t="str">
            <v>R57971.00</v>
          </cell>
          <cell r="C237" t="str">
            <v xml:space="preserve">TAPA BOMBA </v>
          </cell>
        </row>
        <row r="238">
          <cell r="B238" t="str">
            <v>R59450.00.0</v>
          </cell>
          <cell r="C238" t="str">
            <v>TAPA TRIANGULAR</v>
          </cell>
        </row>
        <row r="239">
          <cell r="B239" t="str">
            <v>R70862.B3.0</v>
          </cell>
          <cell r="C239" t="str">
            <v>BASE CARBURADOR</v>
          </cell>
        </row>
        <row r="240">
          <cell r="B240" t="str">
            <v>R70862.B4.0</v>
          </cell>
          <cell r="C240" t="str">
            <v>BASE CARBURADOR</v>
          </cell>
        </row>
        <row r="241">
          <cell r="B241" t="str">
            <v>RCA - 11</v>
          </cell>
          <cell r="C241" t="str">
            <v>CAPSULA</v>
          </cell>
        </row>
        <row r="242">
          <cell r="B242" t="str">
            <v>RCA - 17</v>
          </cell>
          <cell r="C242" t="str">
            <v>CAPSULA</v>
          </cell>
        </row>
        <row r="243">
          <cell r="B243" t="str">
            <v>RCA-10</v>
          </cell>
          <cell r="C243" t="str">
            <v>CAPSULA</v>
          </cell>
        </row>
        <row r="244">
          <cell r="B244" t="str">
            <v>RCA-11D-01</v>
          </cell>
          <cell r="C244" t="str">
            <v>CAPSULA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refreshError="1" sheetId="19"/>
      <sheetData refreshError="1" sheetId="20"/>
      <sheetData refreshError="1" sheetId="21"/>
      <sheetData refreshError="1" sheetId="22"/>
      <sheetData refreshError="1" sheetId="23"/>
      <sheetData refreshError="1" sheetId="24"/>
      <sheetData refreshError="1" sheetId="25"/>
      <sheetData refreshError="1" sheetId="26"/>
      <sheetData refreshError="1" sheetId="27"/>
      <sheetData refreshError="1" sheetId="28"/>
      <sheetData refreshError="1" sheetId="29"/>
      <sheetData refreshError="1" sheetId="30"/>
      <sheetData refreshError="1" sheetId="31"/>
      <sheetData refreshError="1" sheetId="32"/>
      <sheetData refreshError="1" sheetId="33"/>
      <sheetData refreshError="1" sheetId="34"/>
      <sheetData refreshError="1" sheetId="35"/>
      <sheetData refreshError="1" sheetId="36"/>
      <sheetData refreshError="1" sheetId="37"/>
      <sheetData refreshError="1" sheetId="38"/>
      <sheetData refreshError="1" sheetId="39"/>
      <sheetData refreshError="1" sheetId="40"/>
      <sheetData refreshError="1" sheetId="41"/>
      <sheetData refreshError="1" sheetId="42"/>
      <sheetData refreshError="1" sheetId="43"/>
      <sheetData refreshError="1" sheetId="44"/>
      <sheetData refreshError="1" sheetId="45"/>
      <sheetData refreshError="1" sheetId="46"/>
      <sheetData refreshError="1" sheetId="47"/>
      <sheetData refreshError="1" sheetId="48"/>
      <sheetData refreshError="1" sheetId="49"/>
      <sheetData refreshError="1" sheetId="50"/>
      <sheetData refreshError="1"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1-20T"/>
      <sheetName val="2-20T"/>
      <sheetName val="3-80T"/>
      <sheetName val="4-50T"/>
      <sheetName val="5-80T"/>
      <sheetName val="6.-50T"/>
      <sheetName val="7.-50T"/>
      <sheetName val="8.-200T"/>
      <sheetName val="9.-200T"/>
      <sheetName val="10.-200T"/>
      <sheetName val="11.-200T"/>
      <sheetName val="12.-200T"/>
      <sheetName val="13-200T-NUEVA"/>
      <sheetName val="14-50T"/>
      <sheetName val="15.-80T"/>
      <sheetName val="16-250T"/>
      <sheetName val="Graf-UTIL"/>
      <sheetName val="Graf-Efic"/>
      <sheetName val="Graf-Paro"/>
      <sheetName val="Definitions"/>
      <sheetName val="ENTRADAS HTA VS. HRA MAQ. "/>
      <sheetName val="DATA"/>
      <sheetName val="ER comparativo"/>
      <sheetName val="TIPO PROV 20XX"/>
      <sheetName val="Enero"/>
      <sheetName val="Febrero"/>
      <sheetName val="Marzo"/>
      <sheetName val="Abril"/>
      <sheetName val="Mayo"/>
      <sheetName val="Junio"/>
      <sheetName val="Julio"/>
      <sheetName val="Hoja 2"/>
      <sheetName val="Listas"/>
      <sheetName val="Set up"/>
      <sheetName val="Roles"/>
      <sheetName val="Catálogo"/>
      <sheetName val="Hoja1"/>
      <sheetName val="6_-50T"/>
      <sheetName val="7_-50T"/>
      <sheetName val="8_-200T"/>
      <sheetName val="9_-200T"/>
      <sheetName val="10_-200T"/>
      <sheetName val="11_-200T"/>
      <sheetName val="12_-200T"/>
      <sheetName val="15_-80T"/>
      <sheetName val="Áreas"/>
      <sheetName val="MATRIZ DE VALIDACIÓN"/>
      <sheetName val="DO NOT DELETE"/>
      <sheetName val="6_-50T1"/>
      <sheetName val="7_-50T1"/>
      <sheetName val="8_-200T1"/>
      <sheetName val="9_-200T1"/>
      <sheetName val="10_-200T1"/>
      <sheetName val="11_-200T1"/>
      <sheetName val="12_-200T1"/>
      <sheetName val="15_-80T1"/>
      <sheetName val="ENTRADAS_HTA_VS__HRA_MAQ__"/>
      <sheetName val="ER_comparativo"/>
      <sheetName val="TIPO_PROV_20XX"/>
      <sheetName val="Hoja_2"/>
      <sheetName val="Set_up"/>
      <sheetName val="MATRIZ_DE_VALIDACIÓN"/>
      <sheetName val="DO_NOT_DELETE"/>
    </sheetNames>
    <sheetDataSet>
      <sheetData sheetId="0"/>
      <sheetData refreshError="1" sheetId="1">
        <row r="56">
          <cell r="B56">
            <v>1074</v>
          </cell>
          <cell r="C56" t="str">
            <v>ROTOR</v>
          </cell>
        </row>
        <row r="57">
          <cell r="B57">
            <v>1111</v>
          </cell>
          <cell r="C57" t="str">
            <v>ROTOR</v>
          </cell>
        </row>
        <row r="58">
          <cell r="B58">
            <v>1708</v>
          </cell>
          <cell r="C58" t="str">
            <v>CUERPO</v>
          </cell>
        </row>
        <row r="59">
          <cell r="B59">
            <v>1709</v>
          </cell>
          <cell r="C59" t="str">
            <v>CUERPO</v>
          </cell>
        </row>
        <row r="60">
          <cell r="B60" t="str">
            <v>1770-U</v>
          </cell>
          <cell r="C60" t="str">
            <v>CUERPO</v>
          </cell>
        </row>
        <row r="61">
          <cell r="B61">
            <v>1742</v>
          </cell>
          <cell r="C61" t="str">
            <v>CUERPO</v>
          </cell>
        </row>
        <row r="62">
          <cell r="B62">
            <v>1753</v>
          </cell>
          <cell r="C62" t="str">
            <v>VASTAGO</v>
          </cell>
        </row>
        <row r="63">
          <cell r="B63">
            <v>1767</v>
          </cell>
          <cell r="C63" t="str">
            <v>VASTAGO</v>
          </cell>
        </row>
        <row r="64">
          <cell r="B64">
            <v>1767</v>
          </cell>
          <cell r="C64" t="str">
            <v>VASTAGO</v>
          </cell>
        </row>
        <row r="65">
          <cell r="B65">
            <v>1768</v>
          </cell>
          <cell r="C65" t="str">
            <v>VASTAGO</v>
          </cell>
        </row>
        <row r="66">
          <cell r="B66">
            <v>1768</v>
          </cell>
          <cell r="C66" t="str">
            <v>VASTAGO</v>
          </cell>
        </row>
        <row r="67">
          <cell r="B67">
            <v>1769</v>
          </cell>
          <cell r="C67" t="str">
            <v>VASTAGO</v>
          </cell>
        </row>
        <row r="68">
          <cell r="B68">
            <v>1770</v>
          </cell>
          <cell r="C68" t="str">
            <v>CUERPO</v>
          </cell>
        </row>
        <row r="69">
          <cell r="B69">
            <v>1770</v>
          </cell>
          <cell r="C69" t="str">
            <v>CUERPO</v>
          </cell>
        </row>
        <row r="70">
          <cell r="B70">
            <v>1770</v>
          </cell>
          <cell r="C70" t="str">
            <v>CUERPO</v>
          </cell>
        </row>
        <row r="71">
          <cell r="B71">
            <v>1770</v>
          </cell>
          <cell r="C71" t="str">
            <v xml:space="preserve">CUERPO </v>
          </cell>
        </row>
        <row r="72">
          <cell r="B72">
            <v>1773</v>
          </cell>
          <cell r="C72" t="str">
            <v>CUERPO</v>
          </cell>
        </row>
        <row r="73">
          <cell r="B73">
            <v>1774</v>
          </cell>
          <cell r="C73" t="str">
            <v>CUERPO</v>
          </cell>
        </row>
        <row r="74">
          <cell r="B74">
            <v>1774</v>
          </cell>
          <cell r="C74" t="str">
            <v>CUERPO</v>
          </cell>
        </row>
        <row r="75">
          <cell r="B75">
            <v>1844</v>
          </cell>
          <cell r="C75" t="str">
            <v>CUERPO</v>
          </cell>
        </row>
        <row r="76">
          <cell r="B76">
            <v>32160</v>
          </cell>
          <cell r="C76" t="str">
            <v>CUERPO</v>
          </cell>
        </row>
        <row r="77">
          <cell r="B77">
            <v>32202</v>
          </cell>
          <cell r="C77" t="str">
            <v>CUERPO MOLDEADO</v>
          </cell>
        </row>
        <row r="78">
          <cell r="B78">
            <v>32441</v>
          </cell>
          <cell r="C78" t="str">
            <v>CUERPO ZAMAK</v>
          </cell>
        </row>
        <row r="79">
          <cell r="B79">
            <v>117697</v>
          </cell>
          <cell r="C79" t="str">
            <v>CURSOR</v>
          </cell>
        </row>
        <row r="80">
          <cell r="B80">
            <v>33030106</v>
          </cell>
          <cell r="C80" t="str">
            <v>MANIFOLD BRACKET</v>
          </cell>
        </row>
        <row r="81">
          <cell r="B81">
            <v>33030107</v>
          </cell>
          <cell r="C81" t="str">
            <v>MANIFOLD BRACKET</v>
          </cell>
        </row>
        <row r="82">
          <cell r="B82">
            <v>33030127</v>
          </cell>
          <cell r="C82" t="str">
            <v>T-STUECK-TAB</v>
          </cell>
        </row>
        <row r="83">
          <cell r="B83">
            <v>33030128</v>
          </cell>
          <cell r="C83" t="str">
            <v>T-STUECK-TAB</v>
          </cell>
        </row>
        <row r="84">
          <cell r="B84">
            <v>33033139</v>
          </cell>
          <cell r="C84" t="str">
            <v>MANIFOLD BRACKET</v>
          </cell>
        </row>
        <row r="85">
          <cell r="B85">
            <v>53007966</v>
          </cell>
          <cell r="C85" t="str">
            <v>ALLEGE DROIT</v>
          </cell>
        </row>
        <row r="86">
          <cell r="B86">
            <v>53630177</v>
          </cell>
          <cell r="C86" t="str">
            <v>GEAR BOX 4GA</v>
          </cell>
        </row>
        <row r="87">
          <cell r="B87">
            <v>53670307</v>
          </cell>
          <cell r="C87" t="str">
            <v xml:space="preserve">SOCLE BRUT  UPN</v>
          </cell>
        </row>
        <row r="88">
          <cell r="B88">
            <v>53670347</v>
          </cell>
          <cell r="C88" t="str">
            <v>SOCLE BRUT NS</v>
          </cell>
        </row>
        <row r="89">
          <cell r="B89">
            <v>53671247</v>
          </cell>
          <cell r="C89" t="str">
            <v xml:space="preserve">GEAR BOX </v>
          </cell>
        </row>
        <row r="90">
          <cell r="B90">
            <v>53671347</v>
          </cell>
          <cell r="C90" t="str">
            <v>GEAR BOX GMT 360</v>
          </cell>
        </row>
        <row r="91">
          <cell r="B91">
            <v>54630427</v>
          </cell>
          <cell r="C91" t="str">
            <v>PIVOT HOUSING DS</v>
          </cell>
        </row>
        <row r="92">
          <cell r="B92">
            <v>54630437</v>
          </cell>
          <cell r="C92" t="str">
            <v>PIVOT HOUSING PS</v>
          </cell>
        </row>
        <row r="93">
          <cell r="B93">
            <v>54630477</v>
          </cell>
          <cell r="C93" t="str">
            <v xml:space="preserve">PIVOT  WJ</v>
          </cell>
        </row>
        <row r="94">
          <cell r="B94">
            <v>54630487</v>
          </cell>
          <cell r="C94" t="str">
            <v>PIVOT HOUSING WJ</v>
          </cell>
        </row>
        <row r="95">
          <cell r="B95">
            <v>54631287</v>
          </cell>
          <cell r="C95" t="str">
            <v>PIVOT KJ</v>
          </cell>
        </row>
        <row r="96">
          <cell r="B96">
            <v>54631297</v>
          </cell>
          <cell r="C96" t="str">
            <v>PIVOT KJ</v>
          </cell>
        </row>
        <row r="97">
          <cell r="B97">
            <v>54632007</v>
          </cell>
          <cell r="C97" t="str">
            <v>PIVOT HOUSING</v>
          </cell>
        </row>
        <row r="98">
          <cell r="B98">
            <v>54632017</v>
          </cell>
          <cell r="C98" t="str">
            <v>PIVOT HOUSING</v>
          </cell>
        </row>
        <row r="99">
          <cell r="B99" t="str">
            <v>063015</v>
          </cell>
          <cell r="C99" t="str">
            <v>PIE DE ESPEJO L</v>
          </cell>
        </row>
        <row r="100">
          <cell r="B100" t="str">
            <v>063064</v>
          </cell>
          <cell r="C100" t="str">
            <v>PIE DE ESPEJO R</v>
          </cell>
        </row>
        <row r="101">
          <cell r="B101" t="str">
            <v>067009</v>
          </cell>
          <cell r="C101" t="str">
            <v>PIE DE ESPEJO L</v>
          </cell>
        </row>
        <row r="102">
          <cell r="B102" t="str">
            <v>067010</v>
          </cell>
          <cell r="C102" t="str">
            <v>PIE DE ESPEJO R</v>
          </cell>
        </row>
        <row r="103">
          <cell r="B103" t="str">
            <v>10500 257650</v>
          </cell>
          <cell r="C103" t="str">
            <v>INT. JALON M-14</v>
          </cell>
        </row>
        <row r="104">
          <cell r="B104" t="str">
            <v>10500 257850</v>
          </cell>
          <cell r="C104" t="str">
            <v>INT. JALON M-10</v>
          </cell>
        </row>
        <row r="105">
          <cell r="B105" t="str">
            <v>10500 26864 0</v>
          </cell>
          <cell r="C105" t="str">
            <v>CORREDERA (P/A2)</v>
          </cell>
        </row>
        <row r="106">
          <cell r="B106" t="str">
            <v>10500 26946 0</v>
          </cell>
          <cell r="C106" t="str">
            <v>INSERTO (P/A2)</v>
          </cell>
        </row>
        <row r="107">
          <cell r="B107" t="str">
            <v>10500 28184 1</v>
          </cell>
          <cell r="C107" t="str">
            <v>CUERPO CONMUT. (A2)</v>
          </cell>
        </row>
        <row r="108">
          <cell r="B108" t="str">
            <v>10569 26949 0</v>
          </cell>
          <cell r="C108" t="str">
            <v>PALANCA DIR</v>
          </cell>
        </row>
        <row r="109">
          <cell r="B109" t="str">
            <v>113 823 329</v>
          </cell>
          <cell r="C109" t="str">
            <v>GUIA SUPERIOR</v>
          </cell>
        </row>
        <row r="110">
          <cell r="B110" t="str">
            <v>1-542179 A</v>
          </cell>
          <cell r="C110" t="str">
            <v>GROUND BASE</v>
          </cell>
        </row>
        <row r="111">
          <cell r="B111" t="str">
            <v>1753-A</v>
          </cell>
          <cell r="C111" t="str">
            <v>VASTAGO</v>
          </cell>
        </row>
        <row r="112">
          <cell r="B112" t="str">
            <v>1767-V</v>
          </cell>
          <cell r="C112" t="str">
            <v>VASTAGO</v>
          </cell>
        </row>
        <row r="113">
          <cell r="B113" t="str">
            <v>1768-B</v>
          </cell>
          <cell r="C113" t="str">
            <v>VASTAGO</v>
          </cell>
        </row>
        <row r="114">
          <cell r="B114" t="str">
            <v>19K1305</v>
          </cell>
          <cell r="C114" t="str">
            <v>FRAME</v>
          </cell>
        </row>
        <row r="115">
          <cell r="B115" t="str">
            <v>1C0827469</v>
          </cell>
          <cell r="C115" t="str">
            <v>STELLELEMENT</v>
          </cell>
        </row>
        <row r="116">
          <cell r="B116" t="str">
            <v>1CO827469</v>
          </cell>
          <cell r="C116" t="str">
            <v>STELLELEMENT</v>
          </cell>
        </row>
        <row r="117">
          <cell r="B117" t="str">
            <v>1CO827627</v>
          </cell>
          <cell r="C117" t="str">
            <v>BOLZEN</v>
          </cell>
        </row>
        <row r="118">
          <cell r="B118" t="str">
            <v>2.16574.00</v>
          </cell>
          <cell r="C118" t="str">
            <v>TAPA BOMBA</v>
          </cell>
        </row>
        <row r="119">
          <cell r="B119" t="str">
            <v>2.17616.00</v>
          </cell>
          <cell r="C119" t="str">
            <v>BASE BOMBA</v>
          </cell>
        </row>
        <row r="120">
          <cell r="B120" t="str">
            <v>2.19324.00</v>
          </cell>
          <cell r="C120" t="str">
            <v>TAPA TRIANGULAR</v>
          </cell>
        </row>
        <row r="121">
          <cell r="B121" t="str">
            <v>2.20020.00</v>
          </cell>
          <cell r="C121" t="str">
            <v>BASE CARBURADOR</v>
          </cell>
        </row>
        <row r="122">
          <cell r="B122" t="str">
            <v>2.21788.00</v>
          </cell>
          <cell r="C122" t="str">
            <v>CAJA DE VALVULA</v>
          </cell>
        </row>
        <row r="123">
          <cell r="B123" t="str">
            <v>2.21978.00</v>
          </cell>
          <cell r="C123" t="str">
            <v>BASE BOMBA</v>
          </cell>
        </row>
        <row r="124">
          <cell r="B124" t="str">
            <v>2.23933.00</v>
          </cell>
          <cell r="C124" t="str">
            <v>BASE BOMBA</v>
          </cell>
        </row>
        <row r="125">
          <cell r="B125" t="str">
            <v>2.23933.00R</v>
          </cell>
          <cell r="C125" t="str">
            <v>BASE BOMBA</v>
          </cell>
        </row>
        <row r="126">
          <cell r="B126" t="str">
            <v>2.29328.52</v>
          </cell>
          <cell r="C126" t="str">
            <v>VENTURY</v>
          </cell>
        </row>
        <row r="127">
          <cell r="B127" t="str">
            <v>2.29673.00</v>
          </cell>
          <cell r="C127" t="str">
            <v>TAPON</v>
          </cell>
        </row>
        <row r="128">
          <cell r="B128" t="str">
            <v>2.30774.00</v>
          </cell>
          <cell r="C128" t="str">
            <v>TAPA TRIANGULAR</v>
          </cell>
        </row>
        <row r="129">
          <cell r="B129" t="str">
            <v>2.33088.00</v>
          </cell>
          <cell r="C129" t="str">
            <v>VENTURY</v>
          </cell>
        </row>
        <row r="130">
          <cell r="B130" t="str">
            <v>2.33471.00</v>
          </cell>
          <cell r="C130" t="str">
            <v>TAPA CARBURADOR</v>
          </cell>
        </row>
        <row r="131">
          <cell r="B131" t="str">
            <v>2.33664.00</v>
          </cell>
          <cell r="C131" t="str">
            <v>CUERPO VALVULA</v>
          </cell>
        </row>
        <row r="132">
          <cell r="B132" t="str">
            <v>2.34362.00</v>
          </cell>
          <cell r="C132" t="str">
            <v>DIFUSOR</v>
          </cell>
        </row>
        <row r="133">
          <cell r="B133" t="str">
            <v>2.35224.00</v>
          </cell>
          <cell r="C133" t="str">
            <v>TAPA</v>
          </cell>
        </row>
        <row r="134">
          <cell r="B134" t="str">
            <v>2.35259.00</v>
          </cell>
          <cell r="C134" t="str">
            <v>TAPA</v>
          </cell>
        </row>
        <row r="135">
          <cell r="B135" t="str">
            <v>2.35294.00</v>
          </cell>
          <cell r="C135" t="str">
            <v>CUERPO VALVULA</v>
          </cell>
        </row>
        <row r="136">
          <cell r="B136" t="str">
            <v>2.35303.00</v>
          </cell>
          <cell r="C136" t="str">
            <v>TAPA CARBURADOR</v>
          </cell>
        </row>
        <row r="137">
          <cell r="B137" t="str">
            <v>2.35320.00</v>
          </cell>
          <cell r="C137" t="str">
            <v>BASE CARBURADOR</v>
          </cell>
        </row>
        <row r="138">
          <cell r="B138" t="str">
            <v>2.35371.00</v>
          </cell>
          <cell r="C138" t="str">
            <v>BASE CARBURADOR</v>
          </cell>
        </row>
        <row r="139">
          <cell r="B139" t="str">
            <v>2.35748.01</v>
          </cell>
          <cell r="C139" t="str">
            <v>PLACA INTERMEDIA</v>
          </cell>
        </row>
        <row r="140">
          <cell r="B140" t="str">
            <v>2.36179.12</v>
          </cell>
          <cell r="C140" t="str">
            <v>TUBO DE INYECCION</v>
          </cell>
        </row>
        <row r="141">
          <cell r="B141" t="str">
            <v>2.38282.00</v>
          </cell>
          <cell r="C141" t="str">
            <v>PREDIFUSOR 1/2</v>
          </cell>
        </row>
        <row r="142">
          <cell r="B142" t="str">
            <v>2.38283.01</v>
          </cell>
          <cell r="C142" t="str">
            <v>PREDIFUSOR 1/2</v>
          </cell>
        </row>
        <row r="143">
          <cell r="B143" t="str">
            <v>2.M1007.00</v>
          </cell>
          <cell r="C143" t="str">
            <v>CABEZA BOMBA</v>
          </cell>
        </row>
        <row r="144">
          <cell r="B144" t="str">
            <v>2.M1013.00</v>
          </cell>
          <cell r="C144" t="str">
            <v>BASE BOMBA</v>
          </cell>
        </row>
        <row r="145">
          <cell r="B145" t="str">
            <v>2.M1033.00</v>
          </cell>
          <cell r="C145" t="str">
            <v>BASE BOMBA</v>
          </cell>
        </row>
        <row r="146">
          <cell r="B146" t="str">
            <v>2.M1038.00</v>
          </cell>
          <cell r="C146" t="str">
            <v>CABEZA BOMBA</v>
          </cell>
        </row>
        <row r="147">
          <cell r="B147" t="str">
            <v>2.M1043.00</v>
          </cell>
          <cell r="C147" t="str">
            <v>BASE BOMBA</v>
          </cell>
        </row>
        <row r="148">
          <cell r="B148" t="str">
            <v>2.M1072.00</v>
          </cell>
          <cell r="C148" t="str">
            <v>CABEZA BOMBA</v>
          </cell>
        </row>
        <row r="149">
          <cell r="B149" t="str">
            <v>2.M1077.00</v>
          </cell>
          <cell r="C149" t="str">
            <v>BASE BOMBA</v>
          </cell>
        </row>
        <row r="150">
          <cell r="B150" t="str">
            <v>2.M1083.00</v>
          </cell>
          <cell r="C150" t="str">
            <v>BASE BOMBA</v>
          </cell>
        </row>
        <row r="151">
          <cell r="B151" t="str">
            <v>2.M1105.00</v>
          </cell>
          <cell r="C151" t="str">
            <v>BASE BOMBA</v>
          </cell>
        </row>
        <row r="152">
          <cell r="B152" t="str">
            <v>2.M1259.00</v>
          </cell>
          <cell r="C152" t="str">
            <v>TAPA CARBURADOR</v>
          </cell>
        </row>
        <row r="153">
          <cell r="B153" t="str">
            <v>2-113418 A</v>
          </cell>
          <cell r="C153" t="str">
            <v>CYLINDER</v>
          </cell>
        </row>
        <row r="154">
          <cell r="B154" t="str">
            <v>2-143401 A</v>
          </cell>
          <cell r="C154" t="str">
            <v>GROUND BASE</v>
          </cell>
        </row>
        <row r="155">
          <cell r="B155" t="str">
            <v>2-143402 A</v>
          </cell>
          <cell r="C155" t="str">
            <v>GROUND BASE</v>
          </cell>
        </row>
        <row r="156">
          <cell r="B156" t="str">
            <v>2-143866 A</v>
          </cell>
          <cell r="C156" t="str">
            <v>GROUND BASE</v>
          </cell>
        </row>
        <row r="157">
          <cell r="B157" t="str">
            <v>2-144060 A</v>
          </cell>
          <cell r="C157" t="str">
            <v>GROUND BASE</v>
          </cell>
        </row>
        <row r="158">
          <cell r="B158" t="str">
            <v>2-542459 A</v>
          </cell>
          <cell r="C158" t="str">
            <v>GROUND BASE</v>
          </cell>
        </row>
        <row r="159">
          <cell r="B159" t="str">
            <v>28L4583</v>
          </cell>
          <cell r="C159" t="str">
            <v>FRAME</v>
          </cell>
        </row>
        <row r="160">
          <cell r="B160" t="str">
            <v>28L4583</v>
          </cell>
          <cell r="C160" t="str">
            <v>FRAME</v>
          </cell>
        </row>
        <row r="161">
          <cell r="B161" t="str">
            <v>28L4583</v>
          </cell>
          <cell r="C161" t="str">
            <v>FRAME</v>
          </cell>
        </row>
        <row r="162">
          <cell r="B162" t="str">
            <v>3.18190.00</v>
          </cell>
          <cell r="C162" t="str">
            <v>TOPE DE VALVULA</v>
          </cell>
        </row>
        <row r="163">
          <cell r="B163" t="str">
            <v>3.21788.00</v>
          </cell>
          <cell r="C163" t="str">
            <v>CAJA DE VALVULA</v>
          </cell>
        </row>
        <row r="164">
          <cell r="B164" t="str">
            <v>3.21879.00</v>
          </cell>
          <cell r="C164" t="str">
            <v>TOPE VALVULA</v>
          </cell>
        </row>
        <row r="165">
          <cell r="B165" t="str">
            <v>3.31664.00</v>
          </cell>
          <cell r="C165" t="str">
            <v>TAPA TERMOSTATO</v>
          </cell>
        </row>
        <row r="166">
          <cell r="B166" t="str">
            <v>3.34362.00</v>
          </cell>
          <cell r="C166" t="str">
            <v>DIFUSOR</v>
          </cell>
        </row>
        <row r="167">
          <cell r="B167" t="str">
            <v>3.35748.01</v>
          </cell>
          <cell r="C167" t="str">
            <v>PLACA INTERMEDIA</v>
          </cell>
        </row>
        <row r="168">
          <cell r="B168" t="str">
            <v>3.36717.00</v>
          </cell>
          <cell r="C168" t="str">
            <v>PERNO FIJADOR ESP.</v>
          </cell>
        </row>
        <row r="169">
          <cell r="B169" t="str">
            <v>3.38834.00</v>
          </cell>
          <cell r="C169" t="str">
            <v>TAPA BI</v>
          </cell>
        </row>
        <row r="170">
          <cell r="B170" t="str">
            <v>3.M1174.00</v>
          </cell>
          <cell r="C170" t="str">
            <v>EJE DE MEMBRANA</v>
          </cell>
        </row>
        <row r="171">
          <cell r="B171" t="str">
            <v>3.M1840.00</v>
          </cell>
          <cell r="C171" t="str">
            <v>CORREDRA DERECHA</v>
          </cell>
        </row>
        <row r="172">
          <cell r="B172" t="str">
            <v>3.M1841.00</v>
          </cell>
          <cell r="C172" t="str">
            <v>CORREDRA IZQUIERDA</v>
          </cell>
        </row>
        <row r="173">
          <cell r="B173" t="str">
            <v>3-112539 A</v>
          </cell>
          <cell r="C173" t="str">
            <v>GROUND BASE</v>
          </cell>
        </row>
        <row r="174">
          <cell r="B174" t="str">
            <v>3-113038 A</v>
          </cell>
          <cell r="C174" t="str">
            <v>BODY (TROP)</v>
          </cell>
        </row>
        <row r="175">
          <cell r="B175" t="str">
            <v>3-113338 A</v>
          </cell>
          <cell r="C175" t="str">
            <v>BODY (S/TROP)</v>
          </cell>
        </row>
        <row r="176">
          <cell r="B176" t="str">
            <v>3-122410 A</v>
          </cell>
          <cell r="C176" t="str">
            <v>BODY</v>
          </cell>
        </row>
        <row r="177">
          <cell r="B177" t="str">
            <v>3-122786 A</v>
          </cell>
          <cell r="C177" t="str">
            <v>GROUND BASE</v>
          </cell>
        </row>
        <row r="178">
          <cell r="B178" t="str">
            <v>3-122987 A</v>
          </cell>
          <cell r="C178" t="str">
            <v>BODY</v>
          </cell>
        </row>
        <row r="179">
          <cell r="B179" t="str">
            <v>3-123002 B</v>
          </cell>
          <cell r="C179" t="str">
            <v>BODY</v>
          </cell>
        </row>
        <row r="180">
          <cell r="B180" t="str">
            <v>3-123105 A</v>
          </cell>
          <cell r="C180" t="str">
            <v>GROUND BASE</v>
          </cell>
        </row>
        <row r="181">
          <cell r="B181" t="str">
            <v>3-143395 A</v>
          </cell>
          <cell r="C181" t="str">
            <v>CYLINDER</v>
          </cell>
        </row>
        <row r="182">
          <cell r="B182" t="str">
            <v>3-143400 A</v>
          </cell>
          <cell r="C182" t="str">
            <v>GROUND BASE</v>
          </cell>
        </row>
        <row r="183">
          <cell r="B183" t="str">
            <v>3-143820 A</v>
          </cell>
          <cell r="C183" t="str">
            <v>CYLINDER</v>
          </cell>
        </row>
        <row r="184">
          <cell r="B184" t="str">
            <v>3-143865 A</v>
          </cell>
          <cell r="C184" t="str">
            <v>CYLINDER</v>
          </cell>
        </row>
        <row r="185">
          <cell r="B185" t="str">
            <v>3-144451 A/B</v>
          </cell>
          <cell r="C185" t="str">
            <v>BODY</v>
          </cell>
        </row>
        <row r="186">
          <cell r="B186" t="str">
            <v>3-144589 A</v>
          </cell>
          <cell r="C186" t="str">
            <v>CYLINDER</v>
          </cell>
        </row>
        <row r="187">
          <cell r="B187" t="str">
            <v>3-144922 A</v>
          </cell>
          <cell r="C187" t="str">
            <v>GROUND BASE</v>
          </cell>
        </row>
        <row r="188">
          <cell r="B188" t="str">
            <v>3-144923 A</v>
          </cell>
          <cell r="C188" t="str">
            <v>GROUND BASE</v>
          </cell>
        </row>
        <row r="189">
          <cell r="B189" t="str">
            <v>3-540439 A</v>
          </cell>
          <cell r="C189" t="str">
            <v>CYLINDER</v>
          </cell>
        </row>
        <row r="190">
          <cell r="B190" t="str">
            <v>3-540866 A</v>
          </cell>
          <cell r="C190" t="str">
            <v>GROUND BASE</v>
          </cell>
        </row>
        <row r="191">
          <cell r="B191" t="str">
            <v>3-542246 A</v>
          </cell>
          <cell r="C191" t="str">
            <v>CYLINDER</v>
          </cell>
        </row>
        <row r="192">
          <cell r="B192" t="str">
            <v>3-542397 A</v>
          </cell>
          <cell r="C192" t="str">
            <v>GROUND BASE</v>
          </cell>
        </row>
        <row r="193">
          <cell r="B193" t="str">
            <v>3-542702 A</v>
          </cell>
          <cell r="C193" t="str">
            <v>GROUND BASE</v>
          </cell>
        </row>
        <row r="194">
          <cell r="B194" t="str">
            <v>3-542826 A</v>
          </cell>
          <cell r="C194" t="str">
            <v>CYLINDER</v>
          </cell>
        </row>
        <row r="195">
          <cell r="B195" t="str">
            <v>3-543188 A</v>
          </cell>
          <cell r="C195" t="str">
            <v>GROUND BASE</v>
          </cell>
        </row>
        <row r="196">
          <cell r="B196" t="str">
            <v>3-543367 A</v>
          </cell>
          <cell r="C196" t="str">
            <v>CYLINDER</v>
          </cell>
        </row>
        <row r="197">
          <cell r="B197" t="str">
            <v>3M230011 A</v>
          </cell>
          <cell r="C197" t="str">
            <v>ADJUSTER JOINT</v>
          </cell>
        </row>
        <row r="198">
          <cell r="B198" t="str">
            <v>3U110235 A</v>
          </cell>
          <cell r="C198" t="str">
            <v>GROUND BASE</v>
          </cell>
        </row>
        <row r="199">
          <cell r="B199" t="str">
            <v>3U110286 A</v>
          </cell>
          <cell r="C199" t="str">
            <v>GROUND BASE</v>
          </cell>
        </row>
        <row r="200">
          <cell r="B200" t="str">
            <v>3U540383 A</v>
          </cell>
          <cell r="C200" t="str">
            <v>GROUND BASE</v>
          </cell>
        </row>
        <row r="201">
          <cell r="B201" t="str">
            <v>4-112044 A</v>
          </cell>
          <cell r="C201" t="str">
            <v>GROUND BASE</v>
          </cell>
        </row>
        <row r="202">
          <cell r="B202" t="str">
            <v>4-112554 A</v>
          </cell>
          <cell r="C202" t="str">
            <v>MTG NUT</v>
          </cell>
        </row>
        <row r="203">
          <cell r="B203" t="str">
            <v>4-113504 A</v>
          </cell>
          <cell r="C203" t="str">
            <v>GROUND BASE</v>
          </cell>
        </row>
        <row r="204">
          <cell r="B204" t="str">
            <v>4-113654 A</v>
          </cell>
          <cell r="C204" t="str">
            <v>GROUND BASE</v>
          </cell>
        </row>
        <row r="205">
          <cell r="B205" t="str">
            <v>4-142629 A</v>
          </cell>
          <cell r="C205" t="str">
            <v>CYLINDER</v>
          </cell>
        </row>
        <row r="206">
          <cell r="B206" t="str">
            <v>4-143564 A</v>
          </cell>
          <cell r="C206" t="str">
            <v>NECK COLLAR</v>
          </cell>
        </row>
        <row r="207">
          <cell r="B207" t="str">
            <v>4-540427 A</v>
          </cell>
          <cell r="C207" t="str">
            <v>ADAPTER</v>
          </cell>
        </row>
        <row r="208">
          <cell r="B208" t="str">
            <v>58443.01.1</v>
          </cell>
          <cell r="C208" t="str">
            <v>DIFUSOR</v>
          </cell>
        </row>
        <row r="209">
          <cell r="B209" t="str">
            <v>8 266 571</v>
          </cell>
          <cell r="C209" t="str">
            <v>CUERPO L</v>
          </cell>
        </row>
        <row r="210">
          <cell r="B210" t="str">
            <v>8 266 572</v>
          </cell>
          <cell r="C210" t="str">
            <v>CUERPO R</v>
          </cell>
        </row>
        <row r="211">
          <cell r="B211" t="str">
            <v>8 266 573</v>
          </cell>
          <cell r="C211" t="str">
            <v>CONTRATOPE L</v>
          </cell>
        </row>
        <row r="212">
          <cell r="B212" t="str">
            <v>8 266 574</v>
          </cell>
          <cell r="C212" t="str">
            <v>CONTRATOPE R</v>
          </cell>
        </row>
        <row r="213">
          <cell r="B213" t="str">
            <v>AC59004 DO</v>
          </cell>
          <cell r="C213" t="str">
            <v>CASING CAP</v>
          </cell>
        </row>
        <row r="214">
          <cell r="B214" t="str">
            <v>AC59005 DO</v>
          </cell>
          <cell r="C214" t="str">
            <v>CASING CAP</v>
          </cell>
        </row>
        <row r="215">
          <cell r="B215" t="str">
            <v>AC59006 DA1</v>
          </cell>
          <cell r="C215" t="str">
            <v>CASING CAP</v>
          </cell>
        </row>
        <row r="216">
          <cell r="B216" t="str">
            <v>AC59007 DA1</v>
          </cell>
          <cell r="C216" t="str">
            <v>CASING CAP</v>
          </cell>
        </row>
        <row r="217">
          <cell r="B217" t="str">
            <v>AC59015 DO1</v>
          </cell>
          <cell r="C217" t="str">
            <v>CASING CAP</v>
          </cell>
        </row>
        <row r="218">
          <cell r="B218" t="str">
            <v>B-00122-02</v>
          </cell>
          <cell r="C218" t="str">
            <v>CAPSULA</v>
          </cell>
        </row>
        <row r="219">
          <cell r="B219" t="str">
            <v>E400000 D</v>
          </cell>
          <cell r="C219" t="str">
            <v>PALA</v>
          </cell>
        </row>
        <row r="220">
          <cell r="B220" t="str">
            <v>E4081002 C</v>
          </cell>
          <cell r="C220" t="str">
            <v>SOCKET BOW</v>
          </cell>
        </row>
        <row r="221">
          <cell r="B221" t="str">
            <v>E4081002 E</v>
          </cell>
          <cell r="C221" t="str">
            <v>SOCKET BOW</v>
          </cell>
        </row>
        <row r="222">
          <cell r="B222" t="str">
            <v>E4081002 F</v>
          </cell>
          <cell r="C222" t="str">
            <v>SOCKET BOW</v>
          </cell>
        </row>
        <row r="223">
          <cell r="B223" t="str">
            <v>E4081002 G</v>
          </cell>
          <cell r="C223" t="str">
            <v>SOCKET BOW</v>
          </cell>
        </row>
        <row r="224">
          <cell r="B224" t="str">
            <v>E4081006 B</v>
          </cell>
          <cell r="C224" t="str">
            <v>CAJA FIJADORA</v>
          </cell>
        </row>
        <row r="225">
          <cell r="B225" t="str">
            <v>E4093004 C</v>
          </cell>
          <cell r="C225" t="str">
            <v>DRIVER</v>
          </cell>
        </row>
        <row r="226">
          <cell r="B226" t="str">
            <v>E4093005C</v>
          </cell>
          <cell r="C226" t="str">
            <v>PALANCA DE CAJUELA</v>
          </cell>
        </row>
        <row r="227">
          <cell r="B227" t="str">
            <v>E4093006B</v>
          </cell>
          <cell r="C227" t="str">
            <v>SPRING SOCKET</v>
          </cell>
        </row>
        <row r="228">
          <cell r="B228" t="str">
            <v>MX4092001B</v>
          </cell>
          <cell r="C228" t="str">
            <v>GEHÁUSE</v>
          </cell>
        </row>
        <row r="229">
          <cell r="B229" t="str">
            <v>N0501811</v>
          </cell>
          <cell r="C229" t="str">
            <v>BRACKET</v>
          </cell>
        </row>
        <row r="230">
          <cell r="B230" t="str">
            <v>N0501839</v>
          </cell>
          <cell r="C230" t="str">
            <v>PALANCA DE CAJUELA</v>
          </cell>
        </row>
        <row r="231">
          <cell r="B231" t="str">
            <v>N0501970</v>
          </cell>
          <cell r="C231" t="str">
            <v>HOUSSING</v>
          </cell>
        </row>
        <row r="232">
          <cell r="B232" t="str">
            <v>P0888611</v>
          </cell>
          <cell r="C232" t="str">
            <v>CONTRAPESO</v>
          </cell>
        </row>
        <row r="233">
          <cell r="B233" t="str">
            <v>R20294.00.0</v>
          </cell>
          <cell r="C233" t="str">
            <v>TAPA CORRECTOR</v>
          </cell>
        </row>
        <row r="234">
          <cell r="B234" t="str">
            <v>R4080-25</v>
          </cell>
          <cell r="C234" t="str">
            <v>TERMINAL DE CUADRO</v>
          </cell>
        </row>
        <row r="235">
          <cell r="B235" t="str">
            <v>R53246.00.0</v>
          </cell>
          <cell r="C235" t="str">
            <v>CUERPO CORRECTOR</v>
          </cell>
        </row>
        <row r="236">
          <cell r="B236" t="str">
            <v>R53496.00.0</v>
          </cell>
          <cell r="C236" t="str">
            <v>TAPA ENRIQUECEDORA</v>
          </cell>
        </row>
        <row r="237">
          <cell r="B237" t="str">
            <v>R57971.00</v>
          </cell>
          <cell r="C237" t="str">
            <v xml:space="preserve">TAPA BOMBA </v>
          </cell>
        </row>
        <row r="238">
          <cell r="B238" t="str">
            <v>R59450.00.0</v>
          </cell>
          <cell r="C238" t="str">
            <v>TAPA TRIANGULAR</v>
          </cell>
        </row>
        <row r="239">
          <cell r="B239" t="str">
            <v>R70862.B3.0</v>
          </cell>
          <cell r="C239" t="str">
            <v>BASE CARBURADOR</v>
          </cell>
        </row>
        <row r="240">
          <cell r="B240" t="str">
            <v>R70862.B4.0</v>
          </cell>
          <cell r="C240" t="str">
            <v>BASE CARBURADOR</v>
          </cell>
        </row>
        <row r="241">
          <cell r="B241" t="str">
            <v>RCA - 11</v>
          </cell>
          <cell r="C241" t="str">
            <v>CAPSULA</v>
          </cell>
        </row>
        <row r="242">
          <cell r="B242" t="str">
            <v>RCA - 17</v>
          </cell>
          <cell r="C242" t="str">
            <v>CAPSULA</v>
          </cell>
        </row>
        <row r="243">
          <cell r="B243" t="str">
            <v>RCA-10</v>
          </cell>
          <cell r="C243" t="str">
            <v>CAPSULA</v>
          </cell>
        </row>
        <row r="244">
          <cell r="B244" t="str">
            <v>RCA-11D-01</v>
          </cell>
          <cell r="C244" t="str">
            <v>CAPSULA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refreshError="1" sheetId="19"/>
      <sheetData refreshError="1" sheetId="20"/>
      <sheetData refreshError="1" sheetId="21"/>
      <sheetData refreshError="1" sheetId="22"/>
      <sheetData refreshError="1" sheetId="23"/>
      <sheetData refreshError="1" sheetId="24"/>
      <sheetData refreshError="1" sheetId="25"/>
      <sheetData refreshError="1" sheetId="26"/>
      <sheetData refreshError="1" sheetId="27"/>
      <sheetData refreshError="1" sheetId="28"/>
      <sheetData refreshError="1" sheetId="29"/>
      <sheetData refreshError="1" sheetId="30"/>
      <sheetData refreshError="1" sheetId="31"/>
      <sheetData refreshError="1" sheetId="32"/>
      <sheetData refreshError="1" sheetId="33"/>
      <sheetData refreshError="1" sheetId="34"/>
      <sheetData refreshError="1" sheetId="35"/>
      <sheetData refreshError="1" sheetId="36"/>
      <sheetData refreshError="1" sheetId="37"/>
      <sheetData refreshError="1" sheetId="38"/>
      <sheetData refreshError="1" sheetId="39"/>
      <sheetData refreshError="1" sheetId="40"/>
      <sheetData refreshError="1" sheetId="41"/>
      <sheetData refreshError="1" sheetId="42"/>
      <sheetData refreshError="1" sheetId="43"/>
      <sheetData refreshError="1" sheetId="44"/>
      <sheetData refreshError="1" sheetId="45"/>
      <sheetData refreshError="1" sheetId="46"/>
      <sheetData refreshError="1"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</sheetNames>
    <sheetDataSet>
      <sheetData refreshError="1" sheetId="0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Maintenance Plan"/>
    </sheetNames>
    <sheetDataSet>
      <sheetData refreshError="1" sheetId="0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Relationship Id="rId2" Type="http://schemas.openxmlformats.org/officeDocument/2006/relationships/drawing" Target="../drawings/drawing2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Relationship Id="rId2" Type="http://schemas.openxmlformats.org/officeDocument/2006/relationships/drawing" Target="../drawings/drawing3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sheetViews>
    <sheetView view="pageBreakPreview" showGridLines="0" zoomScale="112" zoomScaleNormal="120" zoomScaleSheetLayoutView="100" workbookViewId="0" topLeftCell="A22">
      <selection activeCell="N6" sqref="N6:N29"/>
    </sheetView>
  </sheetViews>
  <sheetFormatPr baseColWidth="10" defaultColWidth="9.304688" defaultRowHeight="14.2"/>
  <cols>
    <col min="1" max="1" width="2.691406" style="1" customWidth="1"/>
    <col min="2" max="2" width="4.691406" style="6" customWidth="1"/>
    <col min="3" max="3" width="15" style="6" customWidth="1"/>
    <col min="4" max="4" width="28.69141" style="6" customWidth="1"/>
    <col min="5" max="5" width="10.69141" style="6" customWidth="1"/>
    <col min="6" max="6" width="10.30469" style="6" customWidth="1"/>
    <col min="7" max="7" width="10" style="6" customWidth="1"/>
    <col min="8" max="8" width="60.46094" style="6" customWidth="1"/>
    <col min="9" max="9" width="4.691406" style="6" customWidth="1"/>
    <col min="10" max="13" width="9.304688" style="6"/>
    <col min="14" max="14" width="9.304688" style="7"/>
    <col min="15" max="16384" width="9.304688" style="6"/>
  </cols>
  <sheetData>
    <row r="1" s="1" customFormat="1" ht="15" customHeight="1">
      <c r="A1" s="3"/>
      <c r="B1" s="3"/>
      <c r="C1" s="3"/>
      <c r="D1" s="3"/>
      <c r="E1" s="3"/>
      <c r="F1" s="3"/>
      <c r="G1" s="3"/>
      <c r="H1" s="3"/>
      <c r="I1" s="3"/>
      <c r="N1" s="8"/>
    </row>
    <row r="2" ht="15" customHeight="1">
      <c r="A2" s="3"/>
      <c r="B2" s="3"/>
      <c r="C2" s="3"/>
      <c r="D2" s="3"/>
      <c r="E2" s="9" t="s">
        <v>0</v>
      </c>
      <c r="F2" s="9"/>
      <c r="G2" s="9"/>
      <c r="H2" s="3"/>
      <c r="I2" s="3"/>
    </row>
    <row r="3" ht="15" customHeight="1">
      <c r="A3" s="3"/>
      <c r="B3" s="3"/>
      <c r="C3" s="10" t="s">
        <v>1</v>
      </c>
      <c r="D3" s="3"/>
      <c r="E3" s="9"/>
      <c r="F3" s="9"/>
      <c r="G3" s="9"/>
      <c r="H3" s="3"/>
      <c r="I3" s="3"/>
    </row>
    <row r="4" ht="14.25" customHeight="1">
      <c r="A4" s="3"/>
      <c r="B4" s="3"/>
      <c r="C4" s="10" t="s">
        <v>2</v>
      </c>
      <c r="D4" s="3"/>
      <c r="E4" s="3"/>
      <c r="F4" s="11"/>
      <c r="G4" s="3"/>
      <c r="H4" s="12"/>
      <c r="I4" s="3"/>
    </row>
    <row r="5" ht="14.25" customHeight="1">
      <c r="A5" s="3"/>
      <c r="B5" s="3"/>
      <c r="C5" s="3"/>
      <c r="D5" s="10"/>
      <c r="E5" s="3"/>
      <c r="F5" s="3"/>
      <c r="G5" s="13"/>
      <c r="H5" s="12"/>
      <c r="I5" s="3"/>
    </row>
    <row r="6" ht="14.25" customHeight="1">
      <c r="A6" s="3"/>
      <c r="B6" s="14"/>
      <c r="C6" s="15" t="s">
        <v>3</v>
      </c>
      <c r="D6" s="16" t="e">
        <f>""&amp;LEFT(D7,2)</f>
        <v>#REF!</v>
      </c>
      <c r="E6" s="3"/>
      <c r="F6" s="17"/>
      <c r="G6" s="18"/>
      <c r="H6" s="3"/>
      <c r="I6" s="3"/>
    </row>
    <row r="7" ht="25.2" customHeight="1">
      <c r="A7" s="3"/>
      <c r="B7" s="19"/>
      <c r="C7" s="15" t="s">
        <v>4</v>
      </c>
      <c r="D7" s="20" t="e">
        <f>#REF!</f>
        <v>#REF!</v>
      </c>
      <c r="E7" s="18"/>
      <c r="F7" s="17"/>
      <c r="G7" s="12" t="s">
        <v>5</v>
      </c>
      <c r="H7" s="21" t="s">
        <v>6</v>
      </c>
      <c r="I7" s="3"/>
    </row>
    <row r="8" ht="25.2" customHeight="1">
      <c r="A8" s="3"/>
      <c r="B8" s="19"/>
      <c r="C8" s="22" t="s">
        <v>7</v>
      </c>
      <c r="D8" s="23" t="s">
        <v>8</v>
      </c>
      <c r="E8" s="18"/>
      <c r="F8" s="17"/>
      <c r="G8" s="12" t="s">
        <v>9</v>
      </c>
      <c r="H8" s="24" t="s">
        <v>10</v>
      </c>
      <c r="I8" s="3"/>
    </row>
    <row r="9" ht="25.2" customHeight="1">
      <c r="A9" s="3"/>
      <c r="B9" s="19"/>
      <c r="C9" s="22" t="s">
        <v>11</v>
      </c>
      <c r="D9" s="25" t="s">
        <v>12</v>
      </c>
      <c r="E9" s="18"/>
      <c r="F9" s="17"/>
      <c r="G9" s="12" t="s">
        <v>13</v>
      </c>
      <c r="H9" s="26" t="str">
        <f>         IFERROR(VLOOKUP(D7,#REF!,5,0),"")</f>
        <v/>
      </c>
      <c r="I9" s="3"/>
      <c r="L9" s="6" t="str">
        <f>IFERROR(VLOOKUP(D7,#REF!,7,0),"")</f>
        <v/>
      </c>
    </row>
    <row r="10" ht="25.2" customHeight="1">
      <c r="A10" s="3"/>
      <c r="B10" s="18"/>
      <c r="C10" s="22" t="s">
        <v>14</v>
      </c>
      <c r="D10" s="27" t="s">
        <v>15</v>
      </c>
      <c r="E10" s="18"/>
      <c r="F10" s="17"/>
      <c r="G10" s="12" t="s">
        <v>16</v>
      </c>
      <c r="H10" s="26" t="s">
        <v>17</v>
      </c>
      <c r="I10" s="3"/>
    </row>
    <row r="11" ht="25.2" customHeight="1">
      <c r="A11" s="3"/>
      <c r="B11" s="18"/>
      <c r="C11" s="28" t="s">
        <v>18</v>
      </c>
      <c r="D11" s="27" t="s">
        <v>19</v>
      </c>
      <c r="E11" s="18"/>
      <c r="F11" s="17"/>
      <c r="G11" s="18"/>
      <c r="H11" s="29"/>
      <c r="I11" s="3"/>
    </row>
    <row r="12" ht="25.2" customHeight="1">
      <c r="A12" s="3"/>
      <c r="B12" s="18"/>
      <c r="C12" s="28" t="s">
        <v>20</v>
      </c>
      <c r="D12" s="30" t="e">
        <f>VLOOKUP($D$7,#REF!,3,0)</f>
        <v>#REF!</v>
      </c>
      <c r="E12" s="18"/>
      <c r="F12" s="18"/>
      <c r="G12" s="31" t="s">
        <v>21</v>
      </c>
      <c r="H12" s="18"/>
      <c r="I12" s="3"/>
    </row>
    <row r="13" ht="25.2" customHeight="1">
      <c r="A13" s="3"/>
      <c r="B13" s="18"/>
      <c r="C13" s="28" t="s">
        <v>22</v>
      </c>
      <c r="D13" s="32" t="str">
        <f>IFERROR(VLOOKUP($D$7,#REF!,4,0),"")</f>
        <v/>
      </c>
      <c r="E13" s="32"/>
      <c r="F13" s="33"/>
      <c r="G13" s="34" t="str">
        <f>IFERROR(VLOOKUP(D7,#REF!,2,0),"")</f>
        <v/>
      </c>
      <c r="H13" s="35" t="str">
        <f>IFERROR(VLOOKUP(G13,#REF!,2,0),"")</f>
        <v/>
      </c>
      <c r="I13" s="3"/>
    </row>
    <row r="14" ht="25.2" customHeight="1">
      <c r="B14" s="1"/>
      <c r="C14" s="1"/>
      <c r="D14" s="1"/>
      <c r="E14" s="1"/>
      <c r="F14" s="1"/>
      <c r="G14" s="1"/>
      <c r="H14" s="1"/>
      <c r="I14" s="1"/>
      <c r="Q14" s="36"/>
    </row>
    <row r="15" ht="25.2" customHeight="1">
      <c r="B15" s="1"/>
      <c r="C15" s="37" t="s">
        <v>23</v>
      </c>
      <c r="D15" s="37" t="s">
        <v>24</v>
      </c>
      <c r="E15" s="37"/>
      <c r="F15" s="38" t="s">
        <v>25</v>
      </c>
      <c r="G15" s="37" t="s">
        <v>26</v>
      </c>
      <c r="H15" s="37" t="s">
        <v>27</v>
      </c>
      <c r="I15" s="1"/>
      <c r="Q15" s="36"/>
    </row>
    <row r="16">
      <c r="B16" s="1"/>
      <c r="C16" s="39">
        <v>1</v>
      </c>
      <c r="D16" s="40" t="str">
        <f>IFERROR(VLOOKUP($L$9+N6,#REF!,11,0),"NA")</f>
        <v>NA</v>
      </c>
      <c r="E16" s="41"/>
      <c r="F16" s="42"/>
      <c r="G16" s="41" t="b">
        <f>IF(IFERROR(VLOOKUP($L$9+N6,#REF!,30,0),"NA")=0,"")</f>
        <v>0</v>
      </c>
      <c r="H16" s="43" t="str">
        <f>IFERROR(VLOOKUP($L$9+N6,#REF!,34,0),"NA")</f>
        <v>NA</v>
      </c>
      <c r="I16" s="1"/>
      <c r="Q16" s="36"/>
    </row>
    <row r="17" ht="14.6">
      <c r="B17" s="1"/>
      <c r="C17" s="44">
        <v>2</v>
      </c>
      <c r="D17" s="45" t="str">
        <f>IFERROR(VLOOKUP($L$9+N7,#REF!,11,0),"NA")</f>
        <v>NA</v>
      </c>
      <c r="E17" s="46"/>
      <c r="F17" s="46"/>
      <c r="G17" s="46" t="b">
        <f>IF(IFERROR(VLOOKUP($L$9+N7,#REF!,30,0),"NA")=0,"")</f>
        <v>0</v>
      </c>
      <c r="H17" s="47" t="str">
        <f>IFERROR(VLOOKUP($L$9+N7,#REF!,34,0),"NA")</f>
        <v>NA</v>
      </c>
      <c r="I17" s="1"/>
      <c r="L17" s="48"/>
      <c r="M17" s="48"/>
      <c r="O17" s="49"/>
      <c r="P17" s="49"/>
      <c r="U17" s="48"/>
    </row>
    <row r="18">
      <c r="B18" s="1"/>
      <c r="C18" s="39">
        <v>3</v>
      </c>
      <c r="D18" s="40" t="str">
        <f>IFERROR(VLOOKUP($L$9+N8,#REF!,11,0),"NA")</f>
        <v>NA</v>
      </c>
      <c r="E18" s="41"/>
      <c r="F18" s="41"/>
      <c r="G18" s="41" t="b">
        <f>IF(IFERROR(VLOOKUP($L$9+N8,#REF!,30,0),"NA")=0,"")</f>
        <v>0</v>
      </c>
      <c r="H18" s="43" t="str">
        <f>IFERROR(VLOOKUP($L$9+N8,#REF!,34,0),"NA")</f>
        <v>NA</v>
      </c>
      <c r="I18" s="1"/>
    </row>
    <row r="19">
      <c r="A19" s="50"/>
      <c r="B19" s="50"/>
      <c r="C19" s="44">
        <v>4</v>
      </c>
      <c r="D19" s="45" t="str">
        <f>IFERROR(VLOOKUP($L$9+N9,#REF!,11,0),"NA")</f>
        <v>NA</v>
      </c>
      <c r="E19" s="46"/>
      <c r="F19" s="46"/>
      <c r="G19" s="46" t="b">
        <f>IF(IFERROR(VLOOKUP($L$9+N9,#REF!,30,0),"NA")=0,"")</f>
        <v>0</v>
      </c>
      <c r="H19" s="47" t="str">
        <f>IFERROR(VLOOKUP($L$9+N9,#REF!,34,0),"NA")</f>
        <v>NA</v>
      </c>
      <c r="I19" s="50"/>
    </row>
    <row r="20">
      <c r="C20" s="39">
        <v>5</v>
      </c>
      <c r="D20" s="40" t="str">
        <f>IFERROR(VLOOKUP($L$9+N10,#REF!,11,0),"NA")</f>
        <v>NA</v>
      </c>
      <c r="E20" s="41"/>
      <c r="F20" s="41"/>
      <c r="G20" s="41" t="b">
        <f>IF(IFERROR(VLOOKUP($L$9+N10,#REF!,30,0),"NA")=0,"")</f>
        <v>0</v>
      </c>
      <c r="H20" s="43" t="str">
        <f>IFERROR(VLOOKUP($L$9+N10,#REF!,34,0),"NA")</f>
        <v>NA</v>
      </c>
    </row>
    <row r="21" s="2" customFormat="1">
      <c r="A21" s="1"/>
      <c r="B21" s="6"/>
      <c r="C21" s="44">
        <v>6</v>
      </c>
      <c r="D21" s="45" t="str">
        <f>IFERROR(VLOOKUP($L$9+N11,#REF!,11,0),"NA")</f>
        <v>NA</v>
      </c>
      <c r="E21" s="46"/>
      <c r="F21" s="46"/>
      <c r="G21" s="46" t="b">
        <f>IF(IFERROR(VLOOKUP($L$9+N11,#REF!,30,0),"NA")=0,"")</f>
        <v>0</v>
      </c>
      <c r="H21" s="47" t="str">
        <f>IFERROR(VLOOKUP($L$9+N11,#REF!,34,0),"NA")</f>
        <v>NA</v>
      </c>
      <c r="I21" s="1"/>
      <c r="N21" s="7"/>
    </row>
    <row r="22">
      <c r="C22" s="39">
        <v>7</v>
      </c>
      <c r="D22" s="40" t="str">
        <f>IFERROR(VLOOKUP($L$9+N12,#REF!,11,0),"NA")</f>
        <v>NA</v>
      </c>
      <c r="E22" s="41"/>
      <c r="F22" s="41"/>
      <c r="G22" s="41" t="b">
        <f>IF(IFERROR(VLOOKUP($L$9+N12,#REF!,30,0),"NA")=0,"")</f>
        <v>0</v>
      </c>
      <c r="H22" s="43" t="str">
        <f>IFERROR(VLOOKUP($L$9+N12,#REF!,34,0),"NA")</f>
        <v>NA</v>
      </c>
      <c r="I22" s="1"/>
    </row>
    <row r="23">
      <c r="C23" s="44">
        <v>8</v>
      </c>
      <c r="D23" s="45" t="str">
        <f>IFERROR(VLOOKUP($L$9+N13,#REF!,11,0),"NA")</f>
        <v>NA</v>
      </c>
      <c r="E23" s="46"/>
      <c r="F23" s="46"/>
      <c r="G23" s="46" t="b">
        <f>IF(IFERROR(VLOOKUP($L$9+N13,#REF!,30,0),"NA")=0,"")</f>
        <v>0</v>
      </c>
      <c r="H23" s="47" t="str">
        <f>IFERROR(VLOOKUP($L$9+N13,#REF!,34,0),"NA")</f>
        <v>NA</v>
      </c>
      <c r="I23" s="1"/>
    </row>
    <row r="24">
      <c r="C24" s="39">
        <v>9</v>
      </c>
      <c r="D24" s="40" t="str">
        <f>IFERROR(VLOOKUP($L$9+N14,#REF!,11,0),"NA")</f>
        <v>NA</v>
      </c>
      <c r="E24" s="41"/>
      <c r="F24" s="41"/>
      <c r="G24" s="41" t="b">
        <f>IF(IFERROR(VLOOKUP($L$9+N14,#REF!,30,0),"NA")=0,"")</f>
        <v>0</v>
      </c>
      <c r="H24" s="43" t="str">
        <f>IFERROR(VLOOKUP($L$9+N14,#REF!,34,0),"NA")</f>
        <v>NA</v>
      </c>
      <c r="I24" s="1"/>
    </row>
    <row r="25">
      <c r="C25" s="44">
        <v>10</v>
      </c>
      <c r="D25" s="45" t="str">
        <f>IFERROR(VLOOKUP($L$9+N15,#REF!,11,0),"NA")</f>
        <v>NA</v>
      </c>
      <c r="E25" s="46"/>
      <c r="F25" s="46"/>
      <c r="G25" s="46" t="b">
        <f>IF(IFERROR(VLOOKUP($L$9+N15,#REF!,30,0),"NA")=0,"")</f>
        <v>0</v>
      </c>
      <c r="H25" s="47" t="str">
        <f>IFERROR(VLOOKUP($L$9+N15,#REF!,34,0),"NA")</f>
        <v>NA</v>
      </c>
      <c r="I25" s="1"/>
    </row>
    <row r="26">
      <c r="C26" s="39">
        <v>11</v>
      </c>
      <c r="D26" s="40" t="str">
        <f>IFERROR(VLOOKUP($L$9+N16,#REF!,11,0),"NA")</f>
        <v>NA</v>
      </c>
      <c r="E26" s="41"/>
      <c r="F26" s="41"/>
      <c r="G26" s="41" t="b">
        <f>IF(IFERROR(VLOOKUP($L$9+N16,#REF!,30,0),"NA")=0,"")</f>
        <v>0</v>
      </c>
      <c r="H26" s="43" t="str">
        <f>IFERROR(VLOOKUP($L$9+N16,#REF!,34,0),"NA")</f>
        <v>NA</v>
      </c>
      <c r="I26" s="1"/>
    </row>
    <row r="27">
      <c r="C27" s="44">
        <v>12</v>
      </c>
      <c r="D27" s="45" t="str">
        <f>IFERROR(VLOOKUP($L$9+N17,#REF!,11,0),"NA")</f>
        <v>NA</v>
      </c>
      <c r="E27" s="46"/>
      <c r="F27" s="46"/>
      <c r="G27" s="46" t="b">
        <f>IF(IFERROR(VLOOKUP($L$9+N17,#REF!,30,0),"NA")=0,"")</f>
        <v>0</v>
      </c>
      <c r="H27" s="47" t="str">
        <f>IFERROR(VLOOKUP($L$9+N17,#REF!,34,0),"NA")</f>
        <v>NA</v>
      </c>
      <c r="I27" s="1"/>
    </row>
    <row r="28">
      <c r="C28" s="39">
        <v>13</v>
      </c>
      <c r="D28" s="40" t="str">
        <f>IFERROR(VLOOKUP($L$9+N18,#REF!,11,0),"NA")</f>
        <v>NA</v>
      </c>
      <c r="E28" s="41"/>
      <c r="F28" s="41"/>
      <c r="G28" s="41" t="b">
        <f>IF(IFERROR(VLOOKUP($L$9+N18,#REF!,30,0),"NA")=0,"")</f>
        <v>0</v>
      </c>
      <c r="H28" s="43" t="str">
        <f>IFERROR(VLOOKUP($L$9+N18,#REF!,34,0),"NA")</f>
        <v>NA</v>
      </c>
      <c r="I28" s="1"/>
    </row>
    <row r="29">
      <c r="C29" s="44">
        <v>14</v>
      </c>
      <c r="D29" s="45" t="str">
        <f>IFERROR(VLOOKUP($L$9+N19,#REF!,11,0),"NA")</f>
        <v>NA</v>
      </c>
      <c r="E29" s="46"/>
      <c r="F29" s="46"/>
      <c r="G29" s="46" t="b">
        <f>IF(IFERROR(VLOOKUP($L$9+N19,#REF!,30,0),"NA")=0,"")</f>
        <v>0</v>
      </c>
      <c r="H29" s="45" t="str">
        <f>IFERROR(VLOOKUP($L$9+N19,#REF!,34,0),"NA")</f>
        <v>NA</v>
      </c>
      <c r="I29" s="1"/>
    </row>
    <row r="30">
      <c r="C30" s="39">
        <v>15</v>
      </c>
      <c r="D30" s="40" t="str">
        <f>IFERROR(VLOOKUP($L$9+N20,#REF!,11,0),"NA")</f>
        <v>NA</v>
      </c>
      <c r="E30" s="41"/>
      <c r="F30" s="41"/>
      <c r="G30" s="41" t="b">
        <f>IF(IFERROR(VLOOKUP($L$9+N20,#REF!,30,0),"NA")=0,"")</f>
        <v>0</v>
      </c>
      <c r="H30" s="40" t="str">
        <f>IFERROR(VLOOKUP($L$9+N20,#REF!,34,0),"NA")</f>
        <v>NA</v>
      </c>
      <c r="I30" s="1"/>
    </row>
    <row r="31">
      <c r="C31" s="44">
        <v>16</v>
      </c>
      <c r="D31" s="45" t="str">
        <f>IFERROR(VLOOKUP($L$9+N21,#REF!,11,0),"NA")</f>
        <v>NA</v>
      </c>
      <c r="E31" s="46"/>
      <c r="F31" s="46"/>
      <c r="G31" s="46" t="b">
        <f>IF(IFERROR(VLOOKUP($L$9+N21,#REF!,30,0),"NA")=0,"")</f>
        <v>0</v>
      </c>
      <c r="H31" s="45" t="str">
        <f>IFERROR(VLOOKUP($L$9+N21,#REF!,34,0),"NA")</f>
        <v>NA</v>
      </c>
      <c r="I31" s="1"/>
    </row>
    <row r="32">
      <c r="C32" s="39">
        <v>17</v>
      </c>
      <c r="D32" s="40" t="str">
        <f>IFERROR(VLOOKUP($L$9+N22,#REF!,11,0),"NA")</f>
        <v>NA</v>
      </c>
      <c r="E32" s="41"/>
      <c r="F32" s="41"/>
      <c r="G32" s="41" t="b">
        <f>IF(IFERROR(VLOOKUP($L$9+N22,#REF!,30,0),"NA")=0,"")</f>
        <v>0</v>
      </c>
      <c r="H32" s="40" t="str">
        <f>IFERROR(VLOOKUP($L$9+N22,#REF!,34,0),"NA")</f>
        <v>NA</v>
      </c>
      <c r="I32" s="1"/>
    </row>
    <row r="33">
      <c r="B33" s="1"/>
      <c r="C33" s="44">
        <v>18</v>
      </c>
      <c r="D33" s="45" t="str">
        <f>IFERROR(VLOOKUP($L$9+N23,#REF!,11,0),"NA")</f>
        <v>NA</v>
      </c>
      <c r="E33" s="46"/>
      <c r="F33" s="46"/>
      <c r="G33" s="46" t="b">
        <f>IF(IFERROR(VLOOKUP($L$9+N23,#REF!,30,0),"NA")=0,"")</f>
        <v>0</v>
      </c>
      <c r="H33" s="45" t="str">
        <f>IFERROR(VLOOKUP($L$9+N23,#REF!,34,0),"NA")</f>
        <v>NA</v>
      </c>
      <c r="I33" s="1"/>
    </row>
    <row r="34">
      <c r="B34" s="1"/>
      <c r="C34" s="39">
        <v>19</v>
      </c>
      <c r="D34" s="40" t="str">
        <f>IFERROR(VLOOKUP($L$9+N24,#REF!,11,0),"NA")</f>
        <v>NA</v>
      </c>
      <c r="E34" s="41"/>
      <c r="F34" s="41"/>
      <c r="G34" s="41" t="b">
        <f>IF(IFERROR(VLOOKUP($L$9+N24,#REF!,30,0),"NA")=0,"")</f>
        <v>0</v>
      </c>
      <c r="H34" s="40" t="str">
        <f>IFERROR(VLOOKUP($L$9+N24,#REF!,34,0),"NA")</f>
        <v>NA</v>
      </c>
      <c r="I34" s="1"/>
    </row>
    <row r="35" ht="24" customHeight="1">
      <c r="B35" s="1"/>
      <c r="C35" s="17" t="s">
        <v>28</v>
      </c>
      <c r="D35" s="18"/>
      <c r="E35" s="18"/>
      <c r="F35" s="18"/>
      <c r="G35" s="18"/>
      <c r="H35" s="18"/>
      <c r="I35" s="1"/>
    </row>
    <row r="36" s="3" customFormat="1" ht="14.6">
      <c r="B36" s="51"/>
      <c r="C36" s="52"/>
      <c r="D36" s="53"/>
      <c r="E36" s="53"/>
      <c r="F36" s="53"/>
      <c r="G36" s="53"/>
      <c r="H36" s="54"/>
    </row>
    <row r="37" s="3" customFormat="1" ht="14.6">
      <c r="B37" s="55"/>
      <c r="C37" s="56"/>
      <c r="D37" s="56"/>
      <c r="E37" s="56"/>
      <c r="F37" s="56"/>
      <c r="G37" s="56"/>
      <c r="H37" s="57"/>
    </row>
    <row r="38" s="3" customFormat="1" ht="14.6">
      <c r="B38" s="58"/>
      <c r="C38" s="59"/>
      <c r="D38" s="59"/>
      <c r="E38" s="59"/>
      <c r="F38" s="59"/>
      <c r="G38" s="59"/>
      <c r="H38" s="60"/>
    </row>
    <row r="39" s="3" customFormat="1" ht="14.6">
      <c r="C39" s="56"/>
      <c r="D39" s="56"/>
      <c r="E39" s="56"/>
      <c r="F39" s="56"/>
      <c r="G39" s="56"/>
      <c r="H39" s="56"/>
    </row>
    <row r="40" s="4" customFormat="1" ht="28.2" customHeight="1">
      <c r="A40" s="3"/>
      <c r="C40" s="61" t="s">
        <v>29</v>
      </c>
      <c r="D40" s="61" t="s">
        <v>30</v>
      </c>
      <c r="E40" s="61" t="s">
        <v>31</v>
      </c>
      <c r="F40" s="62" t="s">
        <v>32</v>
      </c>
      <c r="G40" s="62" t="s">
        <v>33</v>
      </c>
      <c r="H40" s="63"/>
    </row>
    <row r="41" s="4" customFormat="1" ht="18" customHeight="1">
      <c r="A41" s="3"/>
      <c r="C41" s="64" t="str">
        <f>IFERROR(VLOOKUP(D7,#REF!,9,0),"")</f>
        <v/>
      </c>
      <c r="D41" s="65" t="str">
        <f>IFERROR(VLOOKUP(D7,#REF!,10,0),"")</f>
        <v/>
      </c>
      <c r="E41" s="66" t="s">
        <v>34</v>
      </c>
      <c r="F41" s="67" t="s">
        <v>35</v>
      </c>
      <c r="G41" s="68" t="s">
        <v>36</v>
      </c>
      <c r="H41" s="63"/>
    </row>
    <row r="42" s="4" customFormat="1" ht="18" customHeight="1">
      <c r="A42" s="3"/>
      <c r="C42" s="66" t="s">
        <v>36</v>
      </c>
      <c r="D42" s="67" t="s">
        <v>37</v>
      </c>
      <c r="E42" s="66" t="s">
        <v>34</v>
      </c>
      <c r="F42" s="67" t="s">
        <v>35</v>
      </c>
      <c r="G42" s="68" t="s">
        <v>36</v>
      </c>
      <c r="H42" s="69" t="s">
        <v>38</v>
      </c>
    </row>
    <row r="43" s="4" customFormat="1" ht="18" customHeight="1">
      <c r="A43" s="3"/>
      <c r="C43" s="66" t="s">
        <v>36</v>
      </c>
      <c r="D43" s="67" t="s">
        <v>37</v>
      </c>
      <c r="E43" s="66" t="s">
        <v>34</v>
      </c>
      <c r="F43" s="67" t="s">
        <v>35</v>
      </c>
      <c r="G43" s="68" t="s">
        <v>36</v>
      </c>
      <c r="H43" s="70" t="s">
        <v>39</v>
      </c>
    </row>
    <row r="44" s="4" customFormat="1" ht="14.6">
      <c r="A44" s="3"/>
      <c r="C44" s="63"/>
      <c r="D44" s="63"/>
      <c r="E44" s="63"/>
      <c r="F44" s="63"/>
      <c r="G44" s="63"/>
      <c r="H44" s="63"/>
      <c r="M44" s="71"/>
    </row>
    <row r="45" s="4" customFormat="1" ht="14.6">
      <c r="A45" s="3"/>
      <c r="C45" s="72" t="s">
        <v>40</v>
      </c>
      <c r="D45" s="72" t="s">
        <v>41</v>
      </c>
      <c r="E45" s="72"/>
      <c r="F45" s="73"/>
      <c r="G45" s="74"/>
      <c r="H45" s="63"/>
    </row>
    <row r="46" s="4" customFormat="1" ht="6.75" customHeight="1">
      <c r="A46" s="3"/>
      <c r="C46" s="63"/>
      <c r="D46" s="63"/>
      <c r="E46" s="63"/>
      <c r="F46" s="74"/>
      <c r="G46" s="74"/>
      <c r="H46" s="63"/>
    </row>
    <row r="47" s="4" customFormat="1" ht="24" customHeight="1">
      <c r="A47" s="3"/>
      <c r="C47" s="72" t="s">
        <v>42</v>
      </c>
      <c r="D47" s="72" t="s">
        <v>24</v>
      </c>
      <c r="E47" s="72" t="s">
        <v>43</v>
      </c>
      <c r="F47" s="75"/>
      <c r="G47" s="75"/>
      <c r="H47" s="63"/>
    </row>
    <row r="48" s="4" customFormat="1" ht="18" customHeight="1">
      <c r="A48" s="3"/>
      <c r="C48" s="72" t="s">
        <v>36</v>
      </c>
      <c r="D48" s="72" t="s">
        <v>44</v>
      </c>
      <c r="E48" s="72" t="s">
        <v>45</v>
      </c>
      <c r="F48" s="76"/>
      <c r="G48" s="76"/>
      <c r="H48" s="63"/>
    </row>
    <row r="49" s="4" customFormat="1" ht="18" customHeight="1">
      <c r="A49" s="3"/>
      <c r="C49" s="72" t="s">
        <v>36</v>
      </c>
      <c r="D49" s="72" t="s">
        <v>44</v>
      </c>
      <c r="E49" s="72" t="s">
        <v>45</v>
      </c>
      <c r="F49" s="76"/>
      <c r="G49" s="76"/>
      <c r="H49" s="63"/>
    </row>
    <row r="50" s="4" customFormat="1" ht="18" customHeight="1">
      <c r="A50" s="3"/>
      <c r="C50" s="72" t="s">
        <v>36</v>
      </c>
      <c r="D50" s="72" t="s">
        <v>44</v>
      </c>
      <c r="E50" s="72" t="s">
        <v>45</v>
      </c>
      <c r="F50" s="76"/>
      <c r="G50" s="76"/>
      <c r="H50" s="63"/>
    </row>
    <row r="51" s="4" customFormat="1" ht="18" customHeight="1">
      <c r="A51" s="3"/>
      <c r="C51" s="72" t="s">
        <v>36</v>
      </c>
      <c r="D51" s="72" t="s">
        <v>44</v>
      </c>
      <c r="E51" s="72" t="s">
        <v>45</v>
      </c>
      <c r="F51" s="75"/>
      <c r="G51" s="75"/>
      <c r="H51" s="63"/>
    </row>
    <row r="52">
      <c r="B52" s="1"/>
      <c r="C52" s="1"/>
      <c r="D52" s="1"/>
      <c r="E52" s="1"/>
      <c r="F52" s="1"/>
      <c r="G52" s="1"/>
      <c r="H52" s="1"/>
      <c r="I52" s="1"/>
    </row>
    <row r="53">
      <c r="B53" s="1"/>
      <c r="C53" s="1"/>
      <c r="D53" s="1"/>
      <c r="E53" s="1"/>
      <c r="F53" s="1"/>
      <c r="G53" s="1"/>
      <c r="H53" s="1"/>
      <c r="I53" s="1"/>
    </row>
    <row r="54">
      <c r="B54" s="1"/>
      <c r="C54" s="1"/>
      <c r="D54" s="1"/>
      <c r="E54" s="1"/>
      <c r="F54" s="1"/>
      <c r="G54" s="1"/>
      <c r="H54" s="1"/>
      <c r="I54" s="1"/>
    </row>
    <row r="55">
      <c r="B55" s="1"/>
      <c r="C55" s="1"/>
      <c r="D55" s="1"/>
      <c r="E55" s="1"/>
      <c r="F55" s="1"/>
      <c r="G55" s="1"/>
      <c r="H55" s="1"/>
      <c r="I55" s="1"/>
    </row>
    <row r="56">
      <c r="B56" s="1"/>
      <c r="C56" s="1"/>
      <c r="D56" s="1"/>
      <c r="E56" s="1"/>
      <c r="F56" s="1"/>
      <c r="G56" s="1"/>
      <c r="H56" s="1"/>
      <c r="I56" s="1"/>
    </row>
    <row r="57">
      <c r="B57" s="1"/>
      <c r="C57" s="1"/>
      <c r="D57" s="1"/>
      <c r="E57" s="1"/>
      <c r="F57" s="1"/>
      <c r="G57" s="1"/>
      <c r="H57" s="1"/>
      <c r="I57" s="1"/>
    </row>
    <row r="58">
      <c r="B58" s="1"/>
      <c r="C58" s="1"/>
      <c r="D58" s="1"/>
      <c r="E58" s="1"/>
      <c r="F58" s="1"/>
      <c r="G58" s="1"/>
      <c r="H58" s="1"/>
      <c r="I58" s="1"/>
    </row>
    <row r="59">
      <c r="B59" s="1"/>
      <c r="C59" s="1"/>
      <c r="D59" s="1"/>
      <c r="E59" s="1"/>
      <c r="F59" s="1"/>
      <c r="G59" s="1"/>
      <c r="H59" s="1"/>
      <c r="I59" s="1"/>
    </row>
    <row r="60">
      <c r="B60" s="1"/>
      <c r="C60" s="1"/>
      <c r="D60" s="1"/>
      <c r="E60" s="1"/>
      <c r="F60" s="1"/>
      <c r="G60" s="1"/>
      <c r="H60" s="1"/>
      <c r="I60" s="1"/>
    </row>
    <row r="61">
      <c r="B61" s="1"/>
      <c r="C61" s="1"/>
      <c r="D61" s="1"/>
      <c r="E61" s="1"/>
      <c r="F61" s="1"/>
      <c r="G61" s="1"/>
      <c r="H61" s="1"/>
      <c r="I61" s="1"/>
    </row>
    <row r="62">
      <c r="B62" s="1"/>
      <c r="C62" s="1"/>
      <c r="D62" s="1"/>
      <c r="E62" s="1"/>
      <c r="F62" s="1"/>
      <c r="G62" s="1"/>
      <c r="H62" s="1"/>
      <c r="I62" s="1"/>
    </row>
    <row r="63">
      <c r="B63" s="1"/>
      <c r="C63" s="1"/>
      <c r="D63" s="1"/>
      <c r="E63" s="1"/>
      <c r="F63" s="1"/>
      <c r="G63" s="1"/>
      <c r="H63" s="1"/>
      <c r="I63" s="1"/>
    </row>
    <row r="64">
      <c r="B64" s="1"/>
      <c r="C64" s="1"/>
      <c r="D64" s="1"/>
      <c r="E64" s="1"/>
      <c r="F64" s="1"/>
      <c r="G64" s="1"/>
      <c r="H64" s="1"/>
      <c r="I64" s="1"/>
    </row>
    <row r="65">
      <c r="B65" s="1"/>
      <c r="C65" s="1"/>
      <c r="D65" s="1"/>
      <c r="E65" s="1"/>
      <c r="F65" s="1"/>
      <c r="G65" s="1"/>
      <c r="H65" s="1"/>
      <c r="I65" s="1"/>
    </row>
    <row r="66">
      <c r="B66" s="1"/>
      <c r="C66" s="1"/>
      <c r="D66" s="1"/>
      <c r="E66" s="1"/>
      <c r="F66" s="1"/>
      <c r="G66" s="1"/>
      <c r="H66" s="1"/>
      <c r="I66" s="1"/>
    </row>
    <row r="67">
      <c r="B67" s="1"/>
      <c r="C67" s="1"/>
      <c r="D67" s="1"/>
      <c r="E67" s="1"/>
      <c r="F67" s="1"/>
      <c r="G67" s="1"/>
      <c r="H67" s="1"/>
      <c r="I67" s="1"/>
    </row>
    <row r="68">
      <c r="B68" s="1"/>
      <c r="C68" s="1"/>
      <c r="D68" s="1"/>
      <c r="E68" s="1"/>
      <c r="F68" s="1"/>
      <c r="G68" s="1"/>
      <c r="H68" s="1"/>
      <c r="I68" s="1"/>
    </row>
    <row r="69">
      <c r="B69" s="1"/>
      <c r="C69" s="1"/>
      <c r="D69" s="1"/>
      <c r="E69" s="1"/>
      <c r="F69" s="1"/>
      <c r="G69" s="1"/>
      <c r="H69" s="1"/>
      <c r="I69" s="1"/>
    </row>
    <row r="70">
      <c r="B70" s="1"/>
      <c r="C70" s="1"/>
      <c r="D70" s="1"/>
      <c r="E70" s="1"/>
      <c r="F70" s="1"/>
      <c r="G70" s="1"/>
      <c r="H70" s="1"/>
      <c r="I70" s="1"/>
    </row>
    <row r="71">
      <c r="B71" s="1"/>
      <c r="C71" s="1"/>
      <c r="D71" s="1"/>
      <c r="E71" s="1"/>
      <c r="F71" s="1"/>
      <c r="G71" s="1"/>
      <c r="H71" s="1"/>
      <c r="I71" s="1"/>
    </row>
    <row r="72">
      <c r="B72" s="1"/>
      <c r="C72" s="1"/>
      <c r="D72" s="1"/>
      <c r="E72" s="1"/>
      <c r="F72" s="1"/>
      <c r="G72" s="1"/>
      <c r="H72" s="1"/>
      <c r="I72" s="1"/>
    </row>
    <row r="73">
      <c r="B73" s="1"/>
      <c r="C73" s="1"/>
      <c r="D73" s="1"/>
      <c r="E73" s="1"/>
      <c r="F73" s="1"/>
      <c r="G73" s="1"/>
      <c r="H73" s="1"/>
      <c r="I73" s="1"/>
    </row>
    <row r="74">
      <c r="B74" s="1"/>
      <c r="C74" s="1"/>
      <c r="D74" s="1"/>
      <c r="E74" s="1"/>
      <c r="F74" s="1"/>
      <c r="G74" s="1"/>
      <c r="H74" s="1"/>
      <c r="I74" s="1"/>
    </row>
    <row r="75">
      <c r="B75" s="1"/>
      <c r="C75" s="1"/>
      <c r="D75" s="1"/>
      <c r="E75" s="1"/>
      <c r="F75" s="1"/>
      <c r="G75" s="1"/>
      <c r="H75" s="1"/>
      <c r="I75" s="1"/>
    </row>
    <row r="76">
      <c r="B76" s="1"/>
      <c r="C76" s="1"/>
      <c r="D76" s="1"/>
      <c r="E76" s="1"/>
      <c r="F76" s="1"/>
      <c r="G76" s="1"/>
      <c r="H76" s="1"/>
      <c r="I76" s="1"/>
    </row>
    <row r="77">
      <c r="B77" s="1"/>
      <c r="C77" s="1"/>
      <c r="D77" s="1"/>
      <c r="E77" s="1"/>
      <c r="F77" s="1"/>
      <c r="G77" s="1"/>
      <c r="H77" s="1"/>
      <c r="I77" s="1"/>
    </row>
    <row r="78">
      <c r="B78" s="1"/>
      <c r="C78" s="1"/>
      <c r="D78" s="1"/>
      <c r="E78" s="1"/>
      <c r="F78" s="1"/>
      <c r="G78" s="1"/>
      <c r="H78" s="1"/>
      <c r="I78" s="1"/>
    </row>
    <row r="79">
      <c r="B79" s="1"/>
      <c r="C79" s="1"/>
      <c r="D79" s="1"/>
      <c r="E79" s="1"/>
      <c r="F79" s="1"/>
      <c r="G79" s="1"/>
      <c r="H79" s="1"/>
      <c r="I79" s="1"/>
    </row>
    <row r="80">
      <c r="B80" s="1"/>
      <c r="C80" s="1"/>
      <c r="D80" s="1"/>
      <c r="E80" s="1"/>
      <c r="F80" s="1"/>
      <c r="G80" s="1"/>
      <c r="H80" s="1"/>
      <c r="I80" s="1"/>
    </row>
    <row r="81">
      <c r="B81" s="1"/>
      <c r="C81" s="1"/>
      <c r="D81" s="1"/>
      <c r="E81" s="1"/>
      <c r="F81" s="1"/>
      <c r="G81" s="1"/>
      <c r="H81" s="1"/>
    </row>
    <row r="82">
      <c r="B82" s="1"/>
      <c r="C82" s="1"/>
      <c r="D82" s="1"/>
      <c r="E82" s="1"/>
      <c r="F82" s="1"/>
      <c r="G82" s="1"/>
      <c r="H82" s="1"/>
    </row>
    <row r="83">
      <c r="B83" s="1"/>
      <c r="C83" s="1"/>
      <c r="D83" s="1"/>
      <c r="E83" s="1"/>
      <c r="F83" s="1"/>
      <c r="G83" s="1"/>
      <c r="H83" s="1"/>
    </row>
    <row r="84">
      <c r="B84" s="1"/>
      <c r="C84" s="1"/>
      <c r="D84" s="1"/>
      <c r="E84" s="1"/>
      <c r="F84" s="1"/>
      <c r="G84" s="1"/>
      <c r="H84" s="1"/>
    </row>
    <row r="85">
      <c r="B85" s="1"/>
      <c r="C85" s="1"/>
      <c r="D85" s="1"/>
      <c r="E85" s="1"/>
      <c r="F85" s="1"/>
      <c r="G85" s="1"/>
      <c r="H85" s="1"/>
    </row>
    <row r="86">
      <c r="B86" s="1"/>
      <c r="C86" s="1"/>
      <c r="D86" s="1"/>
      <c r="E86" s="1"/>
      <c r="F86" s="1"/>
      <c r="G86" s="1"/>
      <c r="H86" s="1"/>
    </row>
    <row r="87">
      <c r="B87" s="1"/>
      <c r="C87" s="1"/>
      <c r="D87" s="1"/>
      <c r="E87" s="1"/>
      <c r="F87" s="1"/>
      <c r="G87" s="1"/>
      <c r="H87" s="1"/>
    </row>
    <row r="88">
      <c r="B88" s="1"/>
      <c r="C88" s="1"/>
      <c r="D88" s="1"/>
      <c r="E88" s="1"/>
      <c r="F88" s="1"/>
      <c r="G88" s="1"/>
      <c r="H88" s="1"/>
    </row>
    <row r="89">
      <c r="B89" s="1"/>
      <c r="C89" s="1"/>
      <c r="D89" s="1"/>
      <c r="E89" s="1"/>
      <c r="F89" s="1"/>
      <c r="G89" s="1"/>
      <c r="H89" s="1"/>
    </row>
    <row r="90">
      <c r="B90" s="1"/>
      <c r="C90" s="1"/>
      <c r="D90" s="1"/>
      <c r="E90" s="1"/>
      <c r="F90" s="1"/>
      <c r="G90" s="1"/>
      <c r="H90" s="1"/>
    </row>
    <row r="91">
      <c r="B91" s="1"/>
      <c r="C91" s="1"/>
      <c r="D91" s="1"/>
      <c r="E91" s="1"/>
      <c r="F91" s="1"/>
      <c r="G91" s="1"/>
      <c r="H91" s="1"/>
    </row>
    <row r="92">
      <c r="B92" s="1"/>
      <c r="C92" s="1"/>
      <c r="D92" s="1"/>
      <c r="E92" s="1"/>
      <c r="F92" s="1"/>
      <c r="G92" s="1"/>
      <c r="H92" s="1"/>
    </row>
    <row r="93">
      <c r="B93" s="1"/>
      <c r="C93" s="1"/>
      <c r="D93" s="1"/>
      <c r="E93" s="1"/>
      <c r="F93" s="1"/>
      <c r="G93" s="1"/>
      <c r="H93" s="1"/>
    </row>
    <row r="94">
      <c r="B94" s="1"/>
      <c r="C94" s="1"/>
      <c r="D94" s="1"/>
      <c r="E94" s="1"/>
      <c r="F94" s="1"/>
      <c r="G94" s="1"/>
      <c r="H94" s="1"/>
    </row>
    <row r="95">
      <c r="B95" s="1"/>
      <c r="C95" s="1"/>
      <c r="D95" s="1"/>
      <c r="E95" s="1"/>
      <c r="F95" s="1"/>
      <c r="G95" s="1"/>
      <c r="H95" s="1"/>
    </row>
    <row r="96">
      <c r="B96" s="1"/>
      <c r="C96" s="1"/>
      <c r="D96" s="1"/>
      <c r="E96" s="1"/>
      <c r="F96" s="1"/>
      <c r="G96" s="1"/>
      <c r="H96" s="1"/>
    </row>
    <row r="97">
      <c r="B97" s="1"/>
      <c r="C97" s="1"/>
      <c r="D97" s="1"/>
      <c r="E97" s="1"/>
      <c r="F97" s="1"/>
      <c r="G97" s="1"/>
      <c r="H97" s="1"/>
    </row>
    <row r="98">
      <c r="B98" s="1"/>
      <c r="C98" s="1"/>
      <c r="D98" s="1"/>
      <c r="E98" s="1"/>
      <c r="F98" s="1"/>
      <c r="G98" s="1"/>
      <c r="H98" s="1"/>
    </row>
    <row r="99">
      <c r="B99" s="1"/>
      <c r="C99" s="1"/>
      <c r="D99" s="1"/>
      <c r="E99" s="1"/>
      <c r="F99" s="1"/>
      <c r="G99" s="1"/>
      <c r="H99" s="1"/>
    </row>
    <row r="100">
      <c r="B100" s="1"/>
      <c r="C100" s="1"/>
      <c r="D100" s="1"/>
      <c r="E100" s="1"/>
      <c r="F100" s="1"/>
      <c r="G100" s="1"/>
      <c r="H100" s="1"/>
    </row>
    <row r="101">
      <c r="B101" s="1"/>
      <c r="C101" s="1"/>
      <c r="D101" s="1"/>
      <c r="E101" s="1"/>
      <c r="F101" s="1"/>
      <c r="G101" s="1"/>
      <c r="H101" s="1"/>
    </row>
    <row r="102">
      <c r="B102" s="1"/>
      <c r="C102" s="1"/>
      <c r="D102" s="1"/>
      <c r="E102" s="1"/>
      <c r="F102" s="1"/>
      <c r="G102" s="1"/>
      <c r="H102" s="1"/>
    </row>
    <row r="103">
      <c r="B103" s="1"/>
      <c r="C103" s="1"/>
      <c r="D103" s="1"/>
      <c r="E103" s="1"/>
      <c r="F103" s="1"/>
      <c r="G103" s="1"/>
      <c r="H103" s="1"/>
    </row>
    <row r="104">
      <c r="B104" s="1"/>
      <c r="C104" s="1"/>
      <c r="D104" s="1"/>
      <c r="E104" s="1"/>
      <c r="F104" s="1"/>
      <c r="G104" s="1"/>
      <c r="H104" s="1"/>
    </row>
    <row r="105">
      <c r="B105" s="1"/>
      <c r="C105" s="1"/>
      <c r="D105" s="1"/>
      <c r="E105" s="1"/>
      <c r="F105" s="1"/>
      <c r="G105" s="1"/>
      <c r="H105" s="1"/>
    </row>
    <row r="106">
      <c r="B106" s="1"/>
      <c r="C106" s="1"/>
      <c r="D106" s="1"/>
      <c r="E106" s="1"/>
      <c r="F106" s="1"/>
      <c r="G106" s="1"/>
      <c r="H106" s="1"/>
    </row>
    <row r="107">
      <c r="B107" s="1"/>
      <c r="C107" s="1"/>
      <c r="D107" s="1"/>
      <c r="E107" s="1"/>
      <c r="F107" s="1"/>
      <c r="G107" s="1"/>
      <c r="H107" s="1"/>
    </row>
    <row r="108">
      <c r="B108" s="1"/>
      <c r="C108" s="1"/>
      <c r="D108" s="1"/>
      <c r="E108" s="1"/>
      <c r="F108" s="1"/>
      <c r="G108" s="1"/>
      <c r="H108" s="1"/>
    </row>
    <row r="109">
      <c r="B109" s="1"/>
      <c r="C109" s="1"/>
      <c r="D109" s="1"/>
      <c r="E109" s="1"/>
      <c r="F109" s="1"/>
      <c r="G109" s="1"/>
      <c r="H109" s="1"/>
    </row>
    <row r="110">
      <c r="B110" s="1"/>
      <c r="C110" s="1"/>
      <c r="D110" s="1"/>
      <c r="E110" s="1"/>
      <c r="F110" s="1"/>
      <c r="G110" s="1"/>
      <c r="H110" s="1"/>
    </row>
    <row r="111">
      <c r="B111" s="1"/>
      <c r="C111" s="1"/>
      <c r="D111" s="1"/>
      <c r="E111" s="1"/>
      <c r="F111" s="1"/>
      <c r="G111" s="1"/>
      <c r="H111" s="1"/>
    </row>
    <row r="112">
      <c r="B112" s="1"/>
      <c r="C112" s="1"/>
      <c r="D112" s="1"/>
      <c r="E112" s="1"/>
      <c r="F112" s="1"/>
      <c r="G112" s="1"/>
      <c r="H112" s="1"/>
    </row>
    <row r="113">
      <c r="B113" s="1"/>
      <c r="C113" s="1"/>
      <c r="D113" s="1"/>
      <c r="E113" s="1"/>
      <c r="F113" s="1"/>
      <c r="G113" s="1"/>
      <c r="H113" s="1"/>
    </row>
    <row r="114">
      <c r="B114" s="1"/>
      <c r="C114" s="1"/>
      <c r="D114" s="1"/>
      <c r="E114" s="1"/>
      <c r="F114" s="1"/>
      <c r="G114" s="1"/>
      <c r="H114" s="1"/>
    </row>
    <row r="115">
      <c r="B115" s="1"/>
      <c r="C115" s="1"/>
      <c r="D115" s="1"/>
      <c r="E115" s="1"/>
      <c r="F115" s="1"/>
      <c r="G115" s="1"/>
      <c r="H115" s="1"/>
    </row>
    <row r="116">
      <c r="B116" s="1"/>
      <c r="C116" s="1"/>
      <c r="D116" s="1"/>
      <c r="E116" s="1"/>
      <c r="F116" s="1"/>
      <c r="G116" s="1"/>
      <c r="H116" s="1"/>
    </row>
    <row r="117">
      <c r="B117" s="1"/>
      <c r="C117" s="1"/>
      <c r="D117" s="1"/>
      <c r="E117" s="1"/>
      <c r="F117" s="1"/>
      <c r="G117" s="1"/>
      <c r="H117" s="1"/>
    </row>
    <row r="118">
      <c r="B118" s="1"/>
      <c r="C118" s="1"/>
      <c r="D118" s="1"/>
      <c r="E118" s="1"/>
      <c r="F118" s="1"/>
      <c r="G118" s="1"/>
      <c r="H118" s="1"/>
    </row>
    <row r="119">
      <c r="B119" s="1"/>
      <c r="C119" s="1"/>
      <c r="D119" s="1"/>
      <c r="E119" s="1"/>
      <c r="F119" s="1"/>
      <c r="G119" s="1"/>
      <c r="H119" s="1"/>
    </row>
    <row r="120">
      <c r="B120" s="1"/>
      <c r="C120" s="1"/>
      <c r="D120" s="1"/>
      <c r="E120" s="1"/>
      <c r="F120" s="1"/>
      <c r="G120" s="1"/>
      <c r="H120" s="1"/>
    </row>
    <row r="121">
      <c r="B121" s="1"/>
      <c r="C121" s="1"/>
      <c r="D121" s="1"/>
      <c r="E121" s="1"/>
      <c r="F121" s="1"/>
      <c r="G121" s="1"/>
      <c r="H121" s="1"/>
    </row>
    <row r="122">
      <c r="B122" s="1"/>
      <c r="C122" s="1"/>
      <c r="D122" s="1"/>
      <c r="E122" s="1"/>
      <c r="F122" s="1"/>
      <c r="G122" s="1"/>
      <c r="H122" s="1"/>
    </row>
    <row r="123">
      <c r="B123" s="1"/>
      <c r="C123" s="1"/>
      <c r="D123" s="1"/>
      <c r="E123" s="1"/>
      <c r="F123" s="1"/>
      <c r="G123" s="1"/>
      <c r="H123" s="1"/>
    </row>
    <row r="124">
      <c r="B124" s="1"/>
      <c r="C124" s="1"/>
      <c r="D124" s="1"/>
      <c r="E124" s="1"/>
      <c r="F124" s="1"/>
      <c r="G124" s="1"/>
      <c r="H124" s="1"/>
    </row>
    <row r="125">
      <c r="B125" s="1"/>
      <c r="C125" s="1"/>
      <c r="D125" s="1"/>
      <c r="E125" s="1"/>
      <c r="F125" s="1"/>
      <c r="G125" s="1"/>
      <c r="H125" s="1"/>
    </row>
    <row r="126">
      <c r="B126" s="1"/>
      <c r="C126" s="1"/>
      <c r="D126" s="1"/>
      <c r="E126" s="1"/>
      <c r="F126" s="1"/>
      <c r="G126" s="1"/>
      <c r="H126" s="1"/>
    </row>
    <row r="127">
      <c r="B127" s="1"/>
      <c r="C127" s="1"/>
      <c r="D127" s="1"/>
      <c r="E127" s="1"/>
      <c r="F127" s="1"/>
      <c r="G127" s="1"/>
      <c r="H127" s="1"/>
    </row>
    <row r="128">
      <c r="B128" s="1"/>
      <c r="C128" s="1"/>
      <c r="D128" s="1"/>
      <c r="E128" s="1"/>
      <c r="F128" s="1"/>
      <c r="G128" s="1"/>
      <c r="H128" s="1"/>
    </row>
    <row r="129">
      <c r="B129" s="1"/>
      <c r="C129" s="1"/>
      <c r="D129" s="1"/>
      <c r="E129" s="1"/>
      <c r="F129" s="1"/>
      <c r="G129" s="1"/>
      <c r="H129" s="1"/>
    </row>
    <row r="130">
      <c r="B130" s="1"/>
      <c r="C130" s="1"/>
      <c r="D130" s="1"/>
      <c r="E130" s="1"/>
      <c r="F130" s="1"/>
      <c r="G130" s="1"/>
      <c r="H130" s="1"/>
    </row>
    <row r="131">
      <c r="B131" s="1"/>
      <c r="C131" s="1"/>
      <c r="D131" s="1"/>
      <c r="E131" s="1"/>
      <c r="F131" s="1"/>
      <c r="G131" s="1"/>
      <c r="H131" s="1"/>
    </row>
    <row r="132">
      <c r="B132" s="1"/>
      <c r="C132" s="1"/>
      <c r="D132" s="1"/>
      <c r="E132" s="1"/>
      <c r="F132" s="1"/>
      <c r="G132" s="1"/>
      <c r="H132" s="1"/>
    </row>
    <row r="133">
      <c r="B133" s="1"/>
      <c r="C133" s="1"/>
      <c r="D133" s="1"/>
      <c r="E133" s="1"/>
      <c r="F133" s="1"/>
      <c r="G133" s="1"/>
      <c r="H133" s="1"/>
    </row>
    <row r="134">
      <c r="B134" s="1"/>
      <c r="C134" s="1"/>
      <c r="D134" s="1"/>
      <c r="E134" s="1"/>
      <c r="F134" s="1"/>
      <c r="G134" s="1"/>
      <c r="H134" s="1"/>
    </row>
    <row r="135">
      <c r="B135" s="1"/>
      <c r="C135" s="1"/>
      <c r="D135" s="1"/>
      <c r="E135" s="1"/>
      <c r="F135" s="1"/>
      <c r="G135" s="1"/>
      <c r="H135" s="1"/>
    </row>
    <row r="136">
      <c r="B136" s="1"/>
      <c r="C136" s="1"/>
      <c r="D136" s="1"/>
      <c r="E136" s="1"/>
      <c r="F136" s="1"/>
      <c r="G136" s="1"/>
      <c r="H136" s="1"/>
    </row>
    <row r="137">
      <c r="B137" s="1"/>
      <c r="C137" s="1"/>
      <c r="D137" s="1"/>
      <c r="E137" s="1"/>
      <c r="F137" s="1"/>
      <c r="G137" s="1"/>
      <c r="H137" s="1"/>
    </row>
    <row r="138">
      <c r="B138" s="1"/>
      <c r="C138" s="1"/>
      <c r="D138" s="1"/>
      <c r="E138" s="1"/>
      <c r="F138" s="1"/>
      <c r="G138" s="1"/>
      <c r="H138" s="1"/>
    </row>
    <row r="139">
      <c r="B139" s="1"/>
      <c r="C139" s="1"/>
      <c r="D139" s="1"/>
      <c r="E139" s="1"/>
      <c r="F139" s="1"/>
      <c r="G139" s="1"/>
      <c r="H139" s="1"/>
    </row>
    <row r="140">
      <c r="B140" s="1"/>
      <c r="C140" s="1"/>
      <c r="D140" s="1"/>
      <c r="E140" s="1"/>
      <c r="F140" s="1"/>
      <c r="G140" s="1"/>
      <c r="H140" s="1"/>
    </row>
    <row r="141">
      <c r="B141" s="1"/>
      <c r="C141" s="1"/>
      <c r="D141" s="1"/>
      <c r="E141" s="1"/>
      <c r="F141" s="1"/>
      <c r="G141" s="1"/>
      <c r="H141" s="1"/>
    </row>
    <row r="142">
      <c r="B142" s="1"/>
      <c r="C142" s="1"/>
      <c r="D142" s="1"/>
      <c r="E142" s="1"/>
      <c r="F142" s="1"/>
      <c r="G142" s="1"/>
      <c r="H142" s="1"/>
    </row>
    <row r="143">
      <c r="B143" s="1"/>
      <c r="C143" s="1"/>
      <c r="D143" s="1"/>
      <c r="E143" s="1"/>
      <c r="F143" s="1"/>
      <c r="G143" s="1"/>
      <c r="H143" s="1"/>
    </row>
    <row r="144">
      <c r="B144" s="1"/>
      <c r="C144" s="1"/>
      <c r="D144" s="1"/>
      <c r="E144" s="1"/>
      <c r="F144" s="1"/>
      <c r="G144" s="1"/>
      <c r="H144" s="1"/>
    </row>
    <row r="145">
      <c r="B145" s="1"/>
      <c r="C145" s="1"/>
      <c r="D145" s="1"/>
      <c r="E145" s="1"/>
      <c r="F145" s="1"/>
      <c r="G145" s="1"/>
      <c r="H145" s="1"/>
    </row>
    <row r="146">
      <c r="B146" s="1"/>
      <c r="C146" s="1"/>
      <c r="D146" s="1"/>
      <c r="E146" s="1"/>
      <c r="F146" s="1"/>
      <c r="G146" s="1"/>
      <c r="H146" s="1"/>
    </row>
    <row r="147">
      <c r="B147" s="1"/>
      <c r="C147" s="1"/>
      <c r="D147" s="1"/>
      <c r="E147" s="1"/>
      <c r="F147" s="1"/>
      <c r="G147" s="1"/>
      <c r="H147" s="1"/>
    </row>
    <row r="148">
      <c r="B148" s="1"/>
      <c r="C148" s="1"/>
      <c r="D148" s="1"/>
      <c r="E148" s="1"/>
      <c r="F148" s="1"/>
      <c r="G148" s="1"/>
      <c r="H148" s="1"/>
    </row>
  </sheetData>
  <mergeCells count="8">
    <mergeCell ref="F49:G49"/>
    <mergeCell ref="F50:G50"/>
    <mergeCell ref="F51:G51"/>
    <mergeCell ref="E2:G3"/>
    <mergeCell ref="D13:F13"/>
    <mergeCell ref="C36:H38"/>
    <mergeCell ref="F47:G47"/>
    <mergeCell ref="F48:G48"/>
  </mergeCells>
  <printOptions horizontalCentered="1"/>
  <pageMargins left="0.3152778" right="0.3152778" top="0.7479166" bottom="0.7479166" header="0.3152778" footer="0.3152778"/>
  <pageSetup r:id="rId1" orientation="portrait" scale="68" fitToHeight="2"/>
  <rowBreaks count="1" manualBreakCount="1">
    <brk id="24" man="1" max="8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="Selección locación">
          <x14:formula1>
            <xm:f>[9]Hoja1!$D$4:$D$11</xm:f>
          </x14:formula1>
          <xm:sqref>H10</xm:sqref>
        </x14:dataValidation>
        <x14:dataValidation type="list" allowBlank="1" showInputMessage="1" showErrorMessage="1" prompt="Selección de mtto.">
          <x14:formula1>
            <xm:f>[9]Hoja1!$F$4:$F$11</xm:f>
          </x14:formula1>
          <xm:sqref>D11</xm:sqref>
        </x14:dataValidation>
        <x14:dataValidation type="list" allowBlank="1" showInputMessage="1" showErrorMessage="1" prompt="Selección de prioridad">
          <x14:formula1>
            <xm:f>[9]Hoja1!$G$4:$G$11</xm:f>
          </x14:formula1>
          <xm:sqref>D10</xm:sqref>
        </x14:dataValidation>
        <x14:dataValidation type="list" allowBlank="1" showInputMessage="1" showErrorMessage="1" prompt="Selección de estado de la orden">
          <x14:formula1>
            <xm:f>[9]Hoja1!$E$4:$E$11</xm:f>
          </x14:formula1>
          <xm:sqref>D9</xm:sqref>
        </x14:dataValidation>
        <x14:dataValidation type="list" allowBlank="1" showInputMessage="1" showErrorMessage="1" promptTitle="Selección del departamento" prompt="Selección del departamento">
          <x14:formula1>
            <xm:f>[9]Hoja1!$C$4:$C$11</xm:f>
          </x14:formula1>
          <xm:sqref>D8</xm:sqref>
        </x14:dataValidation>
        <x14:dataValidation type="list" allowBlank="1" showInputMessage="1" showErrorMessage="1">
          <x14:formula1>
            <xm:f>[9]Hoja1!$B$4:$B$11</xm:f>
          </x14:formula1>
          <xm:sqref>H7</xm:sqref>
        </x14:dataValidation>
      </x14:dataValidations>
    </ext>
  </extLst>
</worksheet>
</file>

<file path=xl/worksheets/sheet2.xml><?xml version="1.0" encoding="utf-8"?>
<worksheet xmlns:r="http://schemas.openxmlformats.org/officeDocument/2006/relationships" xmlns="http://schemas.openxmlformats.org/spreadsheetml/2006/main">
  <sheetPr codeName="Hoja2"/>
  <sheetViews>
    <sheetView view="pageBreakPreview" tabSelected="1" showGridLines="0" zoomScale="77" zoomScaleNormal="100" zoomScaleSheetLayoutView="100" workbookViewId="0">
      <selection activeCell="C143" sqref="C143"/>
    </sheetView>
  </sheetViews>
  <sheetFormatPr baseColWidth="10" defaultColWidth="11.46094" defaultRowHeight="14.6"/>
  <cols>
    <col min="1" max="1" width="9.691406" style="5" customWidth="1"/>
    <col min="2" max="2" width="14.30469" style="77" customWidth="1"/>
    <col min="3" max="3" width="90.69141" style="5" customWidth="1"/>
    <col min="4" max="4" width="34.07422" style="5" customWidth="1"/>
    <col min="5" max="8" width="9.535156" style="78" customWidth="1"/>
    <col min="9" max="9" width="8.691406" style="5" customWidth="1"/>
    <col min="10" max="16384" width="11.46094" style="78"/>
  </cols>
  <sheetData>
    <row r="1" s="5" customFormat="1">
      <c r="B1" s="77"/>
    </row>
    <row r="2" s="5" customFormat="1">
      <c r="B2" s="77"/>
      <c r="J2" s="77"/>
    </row>
    <row r="3" s="5" customFormat="1">
      <c r="B3" s="77"/>
      <c r="J3" s="79"/>
    </row>
    <row r="4" s="5" customFormat="1">
      <c r="B4" s="77"/>
    </row>
    <row r="5" s="5" customFormat="1">
      <c r="B5" s="77"/>
    </row>
    <row r="6" s="5" customFormat="1">
      <c r="B6" s="77"/>
    </row>
    <row r="7" s="5" customFormat="1">
      <c r="B7" s="77"/>
    </row>
    <row r="8" s="5" customFormat="1" ht="15.9">
      <c r="B8" s="77"/>
      <c r="E8" s="80" t="s">
        <v>46</v>
      </c>
      <c r="F8" s="80"/>
      <c r="G8" s="80"/>
      <c r="H8" s="80"/>
    </row>
    <row r="9" ht="28.5" customHeight="1">
      <c r="A9" s="81" t="s">
        <v>47</v>
      </c>
      <c r="B9" s="81" t="s">
        <v>48</v>
      </c>
      <c r="C9" s="81" t="s">
        <v>49</v>
      </c>
      <c r="D9" s="81" t="s">
        <v>50</v>
      </c>
      <c r="E9" s="82" t="s">
        <v>51</v>
      </c>
      <c r="F9" s="82"/>
      <c r="G9" s="82"/>
      <c r="H9" s="82"/>
    </row>
    <row r="10" ht="15" customHeight="1">
      <c r="A10" s="83">
        <v>1</v>
      </c>
      <c r="B10" s="84" t="e" cm="1">
        <f t="array" ref="B10">INDEX('[10]Maintenance Plan'!$C$7:$K$568,A10,1)</f>
        <v>#REF!</v>
      </c>
      <c r="C10" s="85" t="e" cm="1">
        <f t="array" ref="C10">INDEX('[10]Maintenance Plan'!$C$7:$K$568,A10,3)</f>
        <v>#REF!</v>
      </c>
      <c r="D10" s="86" t="s">
        <v>6</v>
      </c>
      <c r="E10" s="87" t="e">
        <f>#REF!</f>
        <v>#REF!</v>
      </c>
      <c r="F10" s="88"/>
      <c r="G10" s="88"/>
      <c r="H10" s="89"/>
    </row>
    <row r="11" ht="15" customHeight="1">
      <c r="A11" s="90"/>
      <c r="B11" s="91"/>
      <c r="C11" s="92"/>
      <c r="D11" s="93"/>
      <c r="E11" s="94">
        <f>$J$2</f>
        <v>0</v>
      </c>
      <c r="F11" s="95"/>
      <c r="G11" s="96"/>
      <c r="H11" s="97"/>
    </row>
    <row r="12" ht="15" customHeight="1">
      <c r="A12" s="83">
        <v>2</v>
      </c>
      <c r="B12" s="84" t="e" cm="1">
        <f t="array" ref="B12">INDEX('[10]Maintenance Plan'!$C$7:$K$568,A12,1)</f>
        <v>#REF!</v>
      </c>
      <c r="C12" s="85" t="e" cm="1">
        <f t="array" ref="C12">INDEX('[10]Maintenance Plan'!$C$7:$K$568,A12,3)</f>
        <v>#REF!</v>
      </c>
      <c r="D12" s="86" t="s">
        <v>6</v>
      </c>
      <c r="E12" s="87" t="e">
        <f>#REF!</f>
        <v>#REF!</v>
      </c>
      <c r="F12" s="88"/>
      <c r="G12" s="88"/>
      <c r="H12" s="89"/>
    </row>
    <row r="13" ht="15" customHeight="1">
      <c r="A13" s="90"/>
      <c r="B13" s="91"/>
      <c r="C13" s="92"/>
      <c r="D13" s="93"/>
      <c r="E13" s="94">
        <f>$J$2</f>
        <v>0</v>
      </c>
      <c r="F13" s="95"/>
      <c r="G13" s="96"/>
      <c r="H13" s="97"/>
    </row>
    <row r="14" ht="15" customHeight="1">
      <c r="A14" s="83">
        <v>3</v>
      </c>
      <c r="B14" s="84" t="e" cm="1">
        <f t="array" ref="B14">INDEX('[10]Maintenance Plan'!$C$7:$K$568,A14,1)</f>
        <v>#REF!</v>
      </c>
      <c r="C14" s="85" t="e" cm="1">
        <f t="array" ref="C14">INDEX('[10]Maintenance Plan'!$C$7:$K$568,A14,3)</f>
        <v>#REF!</v>
      </c>
      <c r="D14" s="86" t="s">
        <v>6</v>
      </c>
      <c r="E14" s="87" t="e">
        <f>#REF!</f>
        <v>#REF!</v>
      </c>
      <c r="F14" s="88"/>
      <c r="G14" s="88"/>
      <c r="H14" s="89"/>
    </row>
    <row r="15" ht="15" customHeight="1">
      <c r="A15" s="90"/>
      <c r="B15" s="91"/>
      <c r="C15" s="92"/>
      <c r="D15" s="93"/>
      <c r="E15" s="94">
        <f>$J$2</f>
        <v>0</v>
      </c>
      <c r="F15" s="95"/>
      <c r="G15" s="96"/>
      <c r="H15" s="97"/>
    </row>
    <row r="16" ht="15" customHeight="1">
      <c r="A16" s="83">
        <v>4</v>
      </c>
      <c r="B16" s="84" t="e" cm="1">
        <f t="array" ref="B16">INDEX('[10]Maintenance Plan'!$C$7:$K$568,A16,1)</f>
        <v>#REF!</v>
      </c>
      <c r="C16" s="85" t="e" cm="1">
        <f t="array" ref="C16">INDEX('[10]Maintenance Plan'!$C$7:$K$568,A16,3)</f>
        <v>#REF!</v>
      </c>
      <c r="D16" s="86" t="s">
        <v>6</v>
      </c>
      <c r="E16" s="87" t="e">
        <f>#REF!</f>
        <v>#REF!</v>
      </c>
      <c r="F16" s="88"/>
      <c r="G16" s="88"/>
      <c r="H16" s="89"/>
    </row>
    <row r="17" ht="15" customHeight="1">
      <c r="A17" s="90"/>
      <c r="B17" s="91"/>
      <c r="C17" s="92"/>
      <c r="D17" s="93"/>
      <c r="E17" s="94">
        <f>$J$2</f>
        <v>0</v>
      </c>
      <c r="F17" s="95"/>
      <c r="G17" s="96"/>
      <c r="H17" s="97"/>
    </row>
    <row r="18" ht="15" customHeight="1">
      <c r="A18" s="83">
        <v>5</v>
      </c>
      <c r="B18" s="84" t="e" cm="1">
        <f t="array" ref="B18">INDEX('[10]Maintenance Plan'!$C$7:$K$568,A18,1)</f>
        <v>#REF!</v>
      </c>
      <c r="C18" s="85" t="e" cm="1">
        <f t="array" ref="C18">INDEX('[10]Maintenance Plan'!$C$7:$K$568,A18,3)</f>
        <v>#REF!</v>
      </c>
      <c r="D18" s="86" t="s">
        <v>6</v>
      </c>
      <c r="E18" s="87" t="e">
        <f>#REF!</f>
        <v>#REF!</v>
      </c>
      <c r="F18" s="88"/>
      <c r="G18" s="88"/>
      <c r="H18" s="89"/>
    </row>
    <row r="19" ht="15" customHeight="1">
      <c r="A19" s="90"/>
      <c r="B19" s="91"/>
      <c r="C19" s="92"/>
      <c r="D19" s="93"/>
      <c r="E19" s="94">
        <f>$J$2</f>
        <v>0</v>
      </c>
      <c r="F19" s="95"/>
      <c r="G19" s="96"/>
      <c r="H19" s="97"/>
    </row>
    <row r="20" ht="15" customHeight="1">
      <c r="A20" s="83">
        <v>6</v>
      </c>
      <c r="B20" s="84" t="e" cm="1">
        <f t="array" ref="B20">INDEX('[10]Maintenance Plan'!$C$7:$K$568,A20,1)</f>
        <v>#REF!</v>
      </c>
      <c r="C20" s="85" t="e" cm="1">
        <f t="array" ref="C20">INDEX('[10]Maintenance Plan'!$C$7:$K$568,A20,3)</f>
        <v>#REF!</v>
      </c>
      <c r="D20" s="86" t="s">
        <v>6</v>
      </c>
      <c r="E20" s="87" t="e">
        <f>#REF!</f>
        <v>#REF!</v>
      </c>
      <c r="F20" s="88"/>
      <c r="G20" s="88"/>
      <c r="H20" s="89"/>
    </row>
    <row r="21" ht="15" customHeight="1">
      <c r="A21" s="90"/>
      <c r="B21" s="91"/>
      <c r="C21" s="92"/>
      <c r="D21" s="93"/>
      <c r="E21" s="94">
        <f>$J$2</f>
        <v>0</v>
      </c>
      <c r="F21" s="95"/>
      <c r="G21" s="96"/>
      <c r="H21" s="97"/>
    </row>
    <row r="22" ht="15" customHeight="1">
      <c r="A22" s="83">
        <v>7</v>
      </c>
      <c r="B22" s="84" t="e" cm="1">
        <f t="array" ref="B22">INDEX('[10]Maintenance Plan'!$C$7:$K$568,A22,1)</f>
        <v>#REF!</v>
      </c>
      <c r="C22" s="85" t="e" cm="1">
        <f t="array" ref="C22">INDEX('[10]Maintenance Plan'!$C$7:$K$568,A22,3)</f>
        <v>#REF!</v>
      </c>
      <c r="D22" s="86" t="s">
        <v>6</v>
      </c>
      <c r="E22" s="87" t="e">
        <f>#REF!</f>
        <v>#REF!</v>
      </c>
      <c r="F22" s="88"/>
      <c r="G22" s="88"/>
      <c r="H22" s="89"/>
    </row>
    <row r="23" ht="15" customHeight="1">
      <c r="A23" s="90"/>
      <c r="B23" s="91"/>
      <c r="C23" s="92"/>
      <c r="D23" s="93"/>
      <c r="E23" s="94">
        <f>$J$2</f>
        <v>0</v>
      </c>
      <c r="F23" s="95"/>
      <c r="G23" s="96"/>
      <c r="H23" s="97"/>
    </row>
    <row r="24" ht="15" customHeight="1">
      <c r="A24" s="83">
        <v>8</v>
      </c>
      <c r="B24" s="84" t="e" cm="1">
        <f t="array" ref="B24">INDEX('[10]Maintenance Plan'!$C$7:$K$568,A24,1)</f>
        <v>#REF!</v>
      </c>
      <c r="C24" s="85" t="e" cm="1">
        <f t="array" ref="C24">INDEX('[10]Maintenance Plan'!$C$7:$K$568,A24,3)</f>
        <v>#REF!</v>
      </c>
      <c r="D24" s="86" t="s">
        <v>6</v>
      </c>
      <c r="E24" s="87" t="e">
        <f>#REF!</f>
        <v>#REF!</v>
      </c>
      <c r="F24" s="88"/>
      <c r="G24" s="88"/>
      <c r="H24" s="89"/>
    </row>
    <row r="25" ht="15" customHeight="1">
      <c r="A25" s="90"/>
      <c r="B25" s="91"/>
      <c r="C25" s="92"/>
      <c r="D25" s="93"/>
      <c r="E25" s="94">
        <f>$J$2</f>
        <v>0</v>
      </c>
      <c r="F25" s="95"/>
      <c r="G25" s="96"/>
      <c r="H25" s="97"/>
    </row>
    <row r="26" ht="15" customHeight="1">
      <c r="A26" s="83">
        <v>9</v>
      </c>
      <c r="B26" s="84" t="e" cm="1">
        <f t="array" ref="B26">INDEX('[10]Maintenance Plan'!$C$7:$K$568,A26,1)</f>
        <v>#REF!</v>
      </c>
      <c r="C26" s="85" t="e" cm="1">
        <f t="array" ref="C26">INDEX('[10]Maintenance Plan'!$C$7:$K$568,A26,3)</f>
        <v>#REF!</v>
      </c>
      <c r="D26" s="86" t="s">
        <v>6</v>
      </c>
      <c r="E26" s="87" t="e">
        <f>#REF!</f>
        <v>#REF!</v>
      </c>
      <c r="F26" s="88"/>
      <c r="G26" s="88"/>
      <c r="H26" s="89"/>
    </row>
    <row r="27" ht="15" customHeight="1">
      <c r="A27" s="90"/>
      <c r="B27" s="91"/>
      <c r="C27" s="92"/>
      <c r="D27" s="93"/>
      <c r="E27" s="94">
        <f>$J$2</f>
        <v>0</v>
      </c>
      <c r="F27" s="95"/>
      <c r="G27" s="96"/>
      <c r="H27" s="97"/>
    </row>
    <row r="28" ht="15" customHeight="1">
      <c r="A28" s="83">
        <v>10</v>
      </c>
      <c r="B28" s="84" t="e" cm="1">
        <f t="array" ref="B28">INDEX('[10]Maintenance Plan'!$C$7:$K$568,A28,1)</f>
        <v>#REF!</v>
      </c>
      <c r="C28" s="85" t="e" cm="1">
        <f t="array" ref="C28">INDEX('[10]Maintenance Plan'!$C$7:$K$568,A28,3)</f>
        <v>#REF!</v>
      </c>
      <c r="D28" s="86" t="s">
        <v>6</v>
      </c>
      <c r="E28" s="87" t="e">
        <f>#REF!</f>
        <v>#REF!</v>
      </c>
      <c r="F28" s="88"/>
      <c r="G28" s="88"/>
      <c r="H28" s="89"/>
    </row>
    <row r="29" ht="15" customHeight="1">
      <c r="A29" s="90"/>
      <c r="B29" s="91"/>
      <c r="C29" s="92"/>
      <c r="D29" s="93"/>
      <c r="E29" s="94">
        <f>$J$2</f>
        <v>0</v>
      </c>
      <c r="F29" s="95"/>
      <c r="G29" s="96"/>
      <c r="H29" s="97"/>
    </row>
    <row r="30" ht="15" customHeight="1">
      <c r="A30" s="83">
        <v>11</v>
      </c>
      <c r="B30" s="84" t="e" cm="1">
        <f t="array" ref="B30">INDEX('[10]Maintenance Plan'!$C$7:$K$568,A30,1)</f>
        <v>#REF!</v>
      </c>
      <c r="C30" s="85" t="e" cm="1">
        <f t="array" ref="C30">INDEX('[10]Maintenance Plan'!$C$7:$K$568,A30,3)</f>
        <v>#REF!</v>
      </c>
      <c r="D30" s="86" t="s">
        <v>6</v>
      </c>
      <c r="E30" s="87" t="e">
        <f>#REF!</f>
        <v>#REF!</v>
      </c>
      <c r="F30" s="88"/>
      <c r="G30" s="88"/>
      <c r="H30" s="89"/>
    </row>
    <row r="31" ht="15" customHeight="1">
      <c r="A31" s="90"/>
      <c r="B31" s="91"/>
      <c r="C31" s="92"/>
      <c r="D31" s="93"/>
      <c r="E31" s="94">
        <f>$J$2</f>
        <v>0</v>
      </c>
      <c r="F31" s="95"/>
      <c r="G31" s="96"/>
      <c r="H31" s="97"/>
    </row>
    <row r="32" ht="15" customHeight="1">
      <c r="A32" s="83">
        <v>12</v>
      </c>
      <c r="B32" s="84" t="e" cm="1">
        <f t="array" ref="B32">INDEX('[10]Maintenance Plan'!$C$7:$K$568,A32,1)</f>
        <v>#REF!</v>
      </c>
      <c r="C32" s="85" t="e" cm="1">
        <f t="array" ref="C32">INDEX('[10]Maintenance Plan'!$C$7:$K$568,A32,3)</f>
        <v>#REF!</v>
      </c>
      <c r="D32" s="86" t="s">
        <v>6</v>
      </c>
      <c r="E32" s="87" t="e">
        <f>#REF!</f>
        <v>#REF!</v>
      </c>
      <c r="F32" s="88"/>
      <c r="G32" s="88"/>
      <c r="H32" s="89"/>
    </row>
    <row r="33" ht="15" customHeight="1">
      <c r="A33" s="90"/>
      <c r="B33" s="91"/>
      <c r="C33" s="92"/>
      <c r="D33" s="93"/>
      <c r="E33" s="94">
        <f>$J$2</f>
        <v>0</v>
      </c>
      <c r="F33" s="95"/>
      <c r="G33" s="96"/>
      <c r="H33" s="97"/>
    </row>
    <row r="34" ht="15" customHeight="1">
      <c r="A34" s="83">
        <v>13</v>
      </c>
      <c r="B34" s="84" t="e" cm="1">
        <f t="array" ref="B34">INDEX('[10]Maintenance Plan'!$C$7:$K$568,A34,1)</f>
        <v>#REF!</v>
      </c>
      <c r="C34" s="85" t="e" cm="1">
        <f t="array" ref="C34">INDEX('[10]Maintenance Plan'!$C$7:$K$568,A34,3)</f>
        <v>#REF!</v>
      </c>
      <c r="D34" s="86" t="s">
        <v>6</v>
      </c>
      <c r="E34" s="87" t="e">
        <f>#REF!</f>
        <v>#REF!</v>
      </c>
      <c r="F34" s="88"/>
      <c r="G34" s="88"/>
      <c r="H34" s="89"/>
    </row>
    <row r="35" ht="15" customHeight="1">
      <c r="A35" s="90"/>
      <c r="B35" s="91"/>
      <c r="C35" s="92"/>
      <c r="D35" s="93"/>
      <c r="E35" s="94">
        <f>$J$2</f>
        <v>0</v>
      </c>
      <c r="F35" s="95"/>
      <c r="G35" s="96"/>
      <c r="H35" s="97"/>
    </row>
    <row r="36" ht="15" customHeight="1">
      <c r="A36" s="83">
        <v>14</v>
      </c>
      <c r="B36" s="84" t="e" cm="1">
        <f t="array" ref="B36">INDEX('[10]Maintenance Plan'!$C$7:$K$568,A36,1)</f>
        <v>#REF!</v>
      </c>
      <c r="C36" s="85" t="e" cm="1">
        <f t="array" ref="C36">INDEX('[10]Maintenance Plan'!$C$7:$K$568,A36,3)</f>
        <v>#REF!</v>
      </c>
      <c r="D36" s="86" t="s">
        <v>6</v>
      </c>
      <c r="E36" s="87" t="e">
        <f>#REF!</f>
        <v>#REF!</v>
      </c>
      <c r="F36" s="88"/>
      <c r="G36" s="88"/>
      <c r="H36" s="89"/>
    </row>
    <row r="37" ht="15" customHeight="1">
      <c r="A37" s="90"/>
      <c r="B37" s="91"/>
      <c r="C37" s="92"/>
      <c r="D37" s="93"/>
      <c r="E37" s="94">
        <f>$J$2</f>
        <v>0</v>
      </c>
      <c r="F37" s="95"/>
      <c r="G37" s="96"/>
      <c r="H37" s="97"/>
    </row>
    <row r="38" ht="15" customHeight="1">
      <c r="A38" s="83">
        <v>15</v>
      </c>
      <c r="B38" s="84" t="e" cm="1">
        <f t="array" ref="B38">INDEX('[10]Maintenance Plan'!$C$7:$K$568,A38,1)</f>
        <v>#REF!</v>
      </c>
      <c r="C38" s="85" t="e" cm="1">
        <f t="array" ref="C38">INDEX('[10]Maintenance Plan'!$C$7:$K$568,A38,3)</f>
        <v>#REF!</v>
      </c>
      <c r="D38" s="86" t="s">
        <v>6</v>
      </c>
      <c r="E38" s="87" t="e">
        <f>#REF!</f>
        <v>#REF!</v>
      </c>
      <c r="F38" s="88"/>
      <c r="G38" s="88"/>
      <c r="H38" s="89"/>
    </row>
    <row r="39" ht="15" customHeight="1">
      <c r="A39" s="90"/>
      <c r="B39" s="91"/>
      <c r="C39" s="92"/>
      <c r="D39" s="93"/>
      <c r="E39" s="94">
        <f>$J$2</f>
        <v>0</v>
      </c>
      <c r="F39" s="95"/>
      <c r="G39" s="96"/>
      <c r="H39" s="97"/>
    </row>
    <row r="40" ht="15" customHeight="1">
      <c r="A40" s="83">
        <v>16</v>
      </c>
      <c r="B40" s="84" t="e" cm="1">
        <f t="array" ref="B40">INDEX('[10]Maintenance Plan'!$C$7:$K$568,A40,1)</f>
        <v>#REF!</v>
      </c>
      <c r="C40" s="85" t="e" cm="1">
        <f t="array" ref="C40">INDEX('[10]Maintenance Plan'!$C$7:$K$568,A40,3)</f>
        <v>#REF!</v>
      </c>
      <c r="D40" s="86" t="s">
        <v>6</v>
      </c>
      <c r="E40" s="87" t="e">
        <f>#REF!</f>
        <v>#REF!</v>
      </c>
      <c r="F40" s="88"/>
      <c r="G40" s="88"/>
      <c r="H40" s="89"/>
    </row>
    <row r="41" ht="15" customHeight="1">
      <c r="A41" s="90"/>
      <c r="B41" s="91"/>
      <c r="C41" s="92"/>
      <c r="D41" s="93"/>
      <c r="E41" s="94">
        <f>$J$2</f>
        <v>0</v>
      </c>
      <c r="F41" s="95"/>
      <c r="G41" s="96"/>
      <c r="H41" s="97"/>
    </row>
    <row r="42" ht="15" customHeight="1">
      <c r="A42" s="83">
        <v>17</v>
      </c>
      <c r="B42" s="84" t="e" cm="1">
        <f t="array" ref="B42">INDEX('[10]Maintenance Plan'!$C$7:$K$568,A42,1)</f>
        <v>#REF!</v>
      </c>
      <c r="C42" s="85" t="e" cm="1">
        <f t="array" ref="C42">INDEX('[10]Maintenance Plan'!$C$7:$K$568,A42,3)</f>
        <v>#REF!</v>
      </c>
      <c r="D42" s="86" t="s">
        <v>6</v>
      </c>
      <c r="E42" s="87" t="e">
        <f>#REF!</f>
        <v>#REF!</v>
      </c>
      <c r="F42" s="88"/>
      <c r="G42" s="88"/>
      <c r="H42" s="89"/>
    </row>
    <row r="43" ht="15" customHeight="1">
      <c r="A43" s="90"/>
      <c r="B43" s="91"/>
      <c r="C43" s="92"/>
      <c r="D43" s="93"/>
      <c r="E43" s="94">
        <f>$J$2</f>
        <v>0</v>
      </c>
      <c r="F43" s="95"/>
      <c r="G43" s="96"/>
      <c r="H43" s="97"/>
    </row>
    <row r="44" ht="15" customHeight="1">
      <c r="A44" s="83">
        <v>18</v>
      </c>
      <c r="B44" s="84" t="e" cm="1">
        <f t="array" ref="B44">INDEX('[10]Maintenance Plan'!$C$7:$K$568,A44,1)</f>
        <v>#REF!</v>
      </c>
      <c r="C44" s="85" t="e" cm="1">
        <f t="array" ref="C44">INDEX('[10]Maintenance Plan'!$C$7:$K$568,A44,3)</f>
        <v>#REF!</v>
      </c>
      <c r="D44" s="86" t="s">
        <v>6</v>
      </c>
      <c r="E44" s="87" t="e">
        <f>#REF!</f>
        <v>#REF!</v>
      </c>
      <c r="F44" s="88"/>
      <c r="G44" s="88"/>
      <c r="H44" s="89"/>
    </row>
    <row r="45" ht="15" customHeight="1">
      <c r="A45" s="90"/>
      <c r="B45" s="91"/>
      <c r="C45" s="92"/>
      <c r="D45" s="93"/>
      <c r="E45" s="94">
        <f>$J$2</f>
        <v>0</v>
      </c>
      <c r="F45" s="95"/>
      <c r="G45" s="96"/>
      <c r="H45" s="97"/>
    </row>
    <row r="46" ht="15" customHeight="1">
      <c r="A46" s="83">
        <v>19</v>
      </c>
      <c r="B46" s="84" t="e" cm="1">
        <f t="array" ref="B46">INDEX('[10]Maintenance Plan'!$C$7:$K$568,A46,1)</f>
        <v>#REF!</v>
      </c>
      <c r="C46" s="85" t="e" cm="1">
        <f t="array" ref="C46">INDEX('[10]Maintenance Plan'!$C$7:$K$568,A46,3)</f>
        <v>#REF!</v>
      </c>
      <c r="D46" s="86" t="s">
        <v>6</v>
      </c>
      <c r="E46" s="87" t="e">
        <f>#REF!</f>
        <v>#REF!</v>
      </c>
      <c r="F46" s="88"/>
      <c r="G46" s="88"/>
      <c r="H46" s="89"/>
    </row>
    <row r="47" ht="15" customHeight="1">
      <c r="A47" s="90"/>
      <c r="B47" s="91"/>
      <c r="C47" s="92"/>
      <c r="D47" s="93"/>
      <c r="E47" s="94">
        <f>$J$2</f>
        <v>0</v>
      </c>
      <c r="F47" s="95"/>
      <c r="G47" s="96"/>
      <c r="H47" s="97"/>
    </row>
    <row r="48" ht="15" customHeight="1">
      <c r="A48" s="83">
        <v>20</v>
      </c>
      <c r="B48" s="84" t="e" cm="1">
        <f t="array" ref="B48">INDEX('[10]Maintenance Plan'!$C$7:$K$568,A48,1)</f>
        <v>#REF!</v>
      </c>
      <c r="C48" s="85" t="e" cm="1">
        <f t="array" ref="C48">INDEX('[10]Maintenance Plan'!$C$7:$K$568,A48,3)</f>
        <v>#REF!</v>
      </c>
      <c r="D48" s="86" t="s">
        <v>6</v>
      </c>
      <c r="E48" s="87" t="e">
        <f>#REF!</f>
        <v>#REF!</v>
      </c>
      <c r="F48" s="88"/>
      <c r="G48" s="88"/>
      <c r="H48" s="89"/>
    </row>
    <row r="49" ht="15" customHeight="1">
      <c r="A49" s="90"/>
      <c r="B49" s="91"/>
      <c r="C49" s="92"/>
      <c r="D49" s="93"/>
      <c r="E49" s="94">
        <f>$J$2</f>
        <v>0</v>
      </c>
      <c r="F49" s="95"/>
      <c r="G49" s="96"/>
      <c r="H49" s="97"/>
    </row>
    <row r="50" ht="15" customHeight="1">
      <c r="A50" s="83">
        <v>21</v>
      </c>
      <c r="B50" s="84" t="e" cm="1">
        <f t="array" ref="B50">INDEX('[10]Maintenance Plan'!$C$7:$K$568,A50,1)</f>
        <v>#REF!</v>
      </c>
      <c r="C50" s="85" t="e" cm="1">
        <f t="array" ref="C50">INDEX('[10]Maintenance Plan'!$C$7:$K$568,A50,3)</f>
        <v>#REF!</v>
      </c>
      <c r="D50" s="86" t="s">
        <v>6</v>
      </c>
      <c r="E50" s="87" t="e">
        <f>#REF!</f>
        <v>#REF!</v>
      </c>
      <c r="F50" s="88"/>
      <c r="G50" s="88"/>
      <c r="H50" s="89"/>
    </row>
    <row r="51" ht="15" customHeight="1">
      <c r="A51" s="90"/>
      <c r="B51" s="91"/>
      <c r="C51" s="92"/>
      <c r="D51" s="93"/>
      <c r="E51" s="94">
        <f>$J$2</f>
        <v>0</v>
      </c>
      <c r="F51" s="95"/>
      <c r="G51" s="96"/>
      <c r="H51" s="97"/>
    </row>
    <row r="52" ht="15" customHeight="1">
      <c r="A52" s="83">
        <v>22</v>
      </c>
      <c r="B52" s="84" t="e" cm="1">
        <f t="array" ref="B52">INDEX('[10]Maintenance Plan'!$C$7:$K$568,A52,1)</f>
        <v>#REF!</v>
      </c>
      <c r="C52" s="85" t="e" cm="1">
        <f t="array" ref="C52">INDEX('[10]Maintenance Plan'!$C$7:$K$568,A52,3)</f>
        <v>#REF!</v>
      </c>
      <c r="D52" s="86" t="s">
        <v>6</v>
      </c>
      <c r="E52" s="87" t="e">
        <f>#REF!</f>
        <v>#REF!</v>
      </c>
      <c r="F52" s="88"/>
      <c r="G52" s="88"/>
      <c r="H52" s="89"/>
    </row>
    <row r="53" ht="15" customHeight="1">
      <c r="A53" s="90"/>
      <c r="B53" s="91"/>
      <c r="C53" s="92"/>
      <c r="D53" s="93"/>
      <c r="E53" s="94">
        <f>$J$2</f>
        <v>0</v>
      </c>
      <c r="F53" s="95"/>
      <c r="G53" s="96"/>
      <c r="H53" s="97"/>
    </row>
    <row r="54" ht="15" customHeight="1">
      <c r="A54" s="83">
        <v>23</v>
      </c>
      <c r="B54" s="84" t="e" cm="1">
        <f t="array" ref="B54">INDEX('[10]Maintenance Plan'!$C$7:$K$568,A54,1)</f>
        <v>#REF!</v>
      </c>
      <c r="C54" s="85" t="e" cm="1">
        <f t="array" ref="C54">INDEX('[10]Maintenance Plan'!$C$7:$K$568,A54,3)</f>
        <v>#REF!</v>
      </c>
      <c r="D54" s="86" t="s">
        <v>6</v>
      </c>
      <c r="E54" s="87" t="e">
        <f>#REF!</f>
        <v>#REF!</v>
      </c>
      <c r="F54" s="88"/>
      <c r="G54" s="88"/>
      <c r="H54" s="89"/>
    </row>
    <row r="55" ht="15" customHeight="1">
      <c r="A55" s="90"/>
      <c r="B55" s="91"/>
      <c r="C55" s="92"/>
      <c r="D55" s="93"/>
      <c r="E55" s="94">
        <f>$J$2</f>
        <v>0</v>
      </c>
      <c r="F55" s="95"/>
      <c r="G55" s="96"/>
      <c r="H55" s="97"/>
    </row>
    <row r="56" ht="15" customHeight="1">
      <c r="A56" s="83">
        <v>24</v>
      </c>
      <c r="B56" s="84" t="e" cm="1">
        <f t="array" ref="B56">INDEX('[10]Maintenance Plan'!$C$7:$K$568,A56,1)</f>
        <v>#REF!</v>
      </c>
      <c r="C56" s="85" t="e" cm="1">
        <f t="array" ref="C56">INDEX('[10]Maintenance Plan'!$C$7:$K$568,A56,3)</f>
        <v>#REF!</v>
      </c>
      <c r="D56" s="86" t="s">
        <v>6</v>
      </c>
      <c r="E56" s="87" t="e">
        <f>#REF!</f>
        <v>#REF!</v>
      </c>
      <c r="F56" s="88"/>
      <c r="G56" s="88"/>
      <c r="H56" s="89"/>
    </row>
    <row r="57" ht="15" customHeight="1">
      <c r="A57" s="90"/>
      <c r="B57" s="91"/>
      <c r="C57" s="92"/>
      <c r="D57" s="93"/>
      <c r="E57" s="94">
        <f>$J$2</f>
        <v>0</v>
      </c>
      <c r="F57" s="95"/>
      <c r="G57" s="96"/>
      <c r="H57" s="97"/>
    </row>
    <row r="58" ht="15" customHeight="1">
      <c r="A58" s="83">
        <v>25</v>
      </c>
      <c r="B58" s="84" t="e" cm="1">
        <f t="array" ref="B58">INDEX('[10]Maintenance Plan'!$C$7:$K$568,A58,1)</f>
        <v>#REF!</v>
      </c>
      <c r="C58" s="85" t="e" cm="1">
        <f t="array" ref="C58">INDEX('[10]Maintenance Plan'!$C$7:$K$568,A58,3)</f>
        <v>#REF!</v>
      </c>
      <c r="D58" s="86" t="s">
        <v>6</v>
      </c>
      <c r="E58" s="87" t="e">
        <f>#REF!</f>
        <v>#REF!</v>
      </c>
      <c r="F58" s="88"/>
      <c r="G58" s="88"/>
      <c r="H58" s="89"/>
    </row>
    <row r="59" ht="15" customHeight="1">
      <c r="A59" s="90"/>
      <c r="B59" s="91"/>
      <c r="C59" s="92"/>
      <c r="D59" s="93"/>
      <c r="E59" s="94">
        <f>$J$2</f>
        <v>0</v>
      </c>
      <c r="F59" s="95"/>
      <c r="G59" s="96"/>
      <c r="H59" s="97"/>
    </row>
    <row r="60" ht="15" customHeight="1">
      <c r="A60" s="83">
        <v>26</v>
      </c>
      <c r="B60" s="84" t="e" cm="1">
        <f t="array" ref="B60">INDEX('[10]Maintenance Plan'!$C$7:$K$568,A60,1)</f>
        <v>#REF!</v>
      </c>
      <c r="C60" s="85" t="e" cm="1">
        <f t="array" ref="C60">INDEX('[10]Maintenance Plan'!$C$7:$K$568,A60,3)</f>
        <v>#REF!</v>
      </c>
      <c r="D60" s="86" t="s">
        <v>6</v>
      </c>
      <c r="E60" s="87" t="e">
        <f>#REF!</f>
        <v>#REF!</v>
      </c>
      <c r="F60" s="88"/>
      <c r="G60" s="88"/>
      <c r="H60" s="89"/>
    </row>
    <row r="61" ht="15" customHeight="1">
      <c r="A61" s="90"/>
      <c r="B61" s="91"/>
      <c r="C61" s="92"/>
      <c r="D61" s="93"/>
      <c r="E61" s="94">
        <f>$J$2</f>
        <v>0</v>
      </c>
      <c r="F61" s="95"/>
      <c r="G61" s="96"/>
      <c r="H61" s="97"/>
    </row>
    <row r="62" ht="15" customHeight="1">
      <c r="A62" s="83">
        <v>27</v>
      </c>
      <c r="B62" s="84" t="e" cm="1">
        <f t="array" ref="B62">INDEX('[10]Maintenance Plan'!$C$7:$K$568,A62,1)</f>
        <v>#REF!</v>
      </c>
      <c r="C62" s="85" t="e" cm="1">
        <f t="array" ref="C62">INDEX('[10]Maintenance Plan'!$C$7:$K$568,A62,3)</f>
        <v>#REF!</v>
      </c>
      <c r="D62" s="86" t="s">
        <v>6</v>
      </c>
      <c r="E62" s="87" t="e">
        <f>#REF!</f>
        <v>#REF!</v>
      </c>
      <c r="F62" s="88"/>
      <c r="G62" s="88"/>
      <c r="H62" s="89"/>
    </row>
    <row r="63" ht="15" customHeight="1">
      <c r="A63" s="90"/>
      <c r="B63" s="91"/>
      <c r="C63" s="92"/>
      <c r="D63" s="93"/>
      <c r="E63" s="94">
        <f>$J$2</f>
        <v>0</v>
      </c>
      <c r="F63" s="95"/>
      <c r="G63" s="96"/>
      <c r="H63" s="97"/>
    </row>
    <row r="64" ht="15" customHeight="1">
      <c r="A64" s="83">
        <v>28</v>
      </c>
      <c r="B64" s="84" t="e" cm="1">
        <f t="array" ref="B64">INDEX('[10]Maintenance Plan'!$C$7:$K$568,A64,1)</f>
        <v>#REF!</v>
      </c>
      <c r="C64" s="85" t="e" cm="1">
        <f t="array" ref="C64">INDEX('[10]Maintenance Plan'!$C$7:$K$568,A64,3)</f>
        <v>#REF!</v>
      </c>
      <c r="D64" s="86" t="s">
        <v>6</v>
      </c>
      <c r="E64" s="87" t="e">
        <f>#REF!</f>
        <v>#REF!</v>
      </c>
      <c r="F64" s="88"/>
      <c r="G64" s="88"/>
      <c r="H64" s="89"/>
    </row>
    <row r="65" ht="15" customHeight="1">
      <c r="A65" s="90"/>
      <c r="B65" s="91"/>
      <c r="C65" s="92"/>
      <c r="D65" s="93"/>
      <c r="E65" s="94">
        <f>$J$2</f>
        <v>0</v>
      </c>
      <c r="F65" s="95"/>
      <c r="G65" s="96"/>
      <c r="H65" s="97"/>
    </row>
    <row r="66" ht="15" customHeight="1">
      <c r="A66" s="83">
        <v>29</v>
      </c>
      <c r="B66" s="84" t="e" cm="1">
        <f t="array" ref="B66">INDEX('[10]Maintenance Plan'!$C$7:$K$568,A66,1)</f>
        <v>#REF!</v>
      </c>
      <c r="C66" s="85" t="e" cm="1">
        <f t="array" ref="C66">INDEX('[10]Maintenance Plan'!$C$7:$K$568,A66,3)</f>
        <v>#REF!</v>
      </c>
      <c r="D66" s="86" t="s">
        <v>6</v>
      </c>
      <c r="E66" s="87" t="e">
        <f>#REF!</f>
        <v>#REF!</v>
      </c>
      <c r="F66" s="88"/>
      <c r="G66" s="88"/>
      <c r="H66" s="89"/>
    </row>
    <row r="67" ht="15" customHeight="1">
      <c r="A67" s="90"/>
      <c r="B67" s="91"/>
      <c r="C67" s="92"/>
      <c r="D67" s="93"/>
      <c r="E67" s="94">
        <f>$J$2</f>
        <v>0</v>
      </c>
      <c r="F67" s="95"/>
      <c r="G67" s="96"/>
      <c r="H67" s="97"/>
    </row>
    <row r="68" ht="15" customHeight="1">
      <c r="A68" s="83">
        <v>30</v>
      </c>
      <c r="B68" s="84" t="e" cm="1">
        <f t="array" ref="B68">INDEX('[10]Maintenance Plan'!$C$7:$K$568,A68,1)</f>
        <v>#REF!</v>
      </c>
      <c r="C68" s="85" t="e" cm="1">
        <f t="array" ref="C68">INDEX('[10]Maintenance Plan'!$C$7:$K$568,A68,3)</f>
        <v>#REF!</v>
      </c>
      <c r="D68" s="86" t="s">
        <v>6</v>
      </c>
      <c r="E68" s="87" t="e">
        <f>#REF!</f>
        <v>#REF!</v>
      </c>
      <c r="F68" s="88"/>
      <c r="G68" s="88"/>
      <c r="H68" s="89"/>
    </row>
    <row r="69" ht="15" customHeight="1">
      <c r="A69" s="90"/>
      <c r="B69" s="91"/>
      <c r="C69" s="92"/>
      <c r="D69" s="93"/>
      <c r="E69" s="94">
        <f>$J$2</f>
        <v>0</v>
      </c>
      <c r="F69" s="95"/>
      <c r="G69" s="96"/>
      <c r="H69" s="97"/>
    </row>
    <row r="70" ht="15" customHeight="1">
      <c r="A70" s="83">
        <v>31</v>
      </c>
      <c r="B70" s="84" t="e" cm="1">
        <f t="array" ref="B70">INDEX('[10]Maintenance Plan'!$C$7:$K$568,A70,1)</f>
        <v>#REF!</v>
      </c>
      <c r="C70" s="85" t="e" cm="1">
        <f t="array" ref="C70">INDEX('[10]Maintenance Plan'!$C$7:$K$568,A70,3)</f>
        <v>#REF!</v>
      </c>
      <c r="D70" s="86" t="s">
        <v>6</v>
      </c>
      <c r="E70" s="87" t="e">
        <f>#REF!</f>
        <v>#REF!</v>
      </c>
      <c r="F70" s="88"/>
      <c r="G70" s="88"/>
      <c r="H70" s="89"/>
    </row>
    <row r="71" ht="15" customHeight="1">
      <c r="A71" s="90"/>
      <c r="B71" s="91"/>
      <c r="C71" s="92"/>
      <c r="D71" s="93"/>
      <c r="E71" s="94">
        <f>$J$2</f>
        <v>0</v>
      </c>
      <c r="F71" s="95"/>
      <c r="G71" s="96"/>
      <c r="H71" s="97"/>
    </row>
    <row r="72" ht="15" customHeight="1">
      <c r="A72" s="83">
        <v>32</v>
      </c>
      <c r="B72" s="84" t="e" cm="1">
        <f t="array" ref="B72">INDEX('[10]Maintenance Plan'!$C$7:$K$568,A72,1)</f>
        <v>#REF!</v>
      </c>
      <c r="C72" s="85" t="e" cm="1">
        <f t="array" ref="C72">INDEX('[10]Maintenance Plan'!$C$7:$K$568,A72,3)</f>
        <v>#REF!</v>
      </c>
      <c r="D72" s="86" t="s">
        <v>6</v>
      </c>
      <c r="E72" s="87" t="e">
        <f>#REF!</f>
        <v>#REF!</v>
      </c>
      <c r="F72" s="88"/>
      <c r="G72" s="88"/>
      <c r="H72" s="89"/>
    </row>
    <row r="73" ht="15" customHeight="1">
      <c r="A73" s="90"/>
      <c r="B73" s="91"/>
      <c r="C73" s="92"/>
      <c r="D73" s="93"/>
      <c r="E73" s="94">
        <f>$J$2</f>
        <v>0</v>
      </c>
      <c r="F73" s="95"/>
      <c r="G73" s="96"/>
      <c r="H73" s="97"/>
    </row>
    <row r="74" ht="15" customHeight="1">
      <c r="A74" s="83">
        <v>33</v>
      </c>
      <c r="B74" s="84" t="e" cm="1">
        <f t="array" ref="B74">INDEX('[10]Maintenance Plan'!$C$7:$K$568,A74,1)</f>
        <v>#REF!</v>
      </c>
      <c r="C74" s="85" t="e" cm="1">
        <f t="array" ref="C74">INDEX('[10]Maintenance Plan'!$C$7:$K$568,A74,3)</f>
        <v>#REF!</v>
      </c>
      <c r="D74" s="86" t="s">
        <v>6</v>
      </c>
      <c r="E74" s="87" t="e">
        <f>#REF!</f>
        <v>#REF!</v>
      </c>
      <c r="F74" s="88"/>
      <c r="G74" s="88"/>
      <c r="H74" s="89"/>
    </row>
    <row r="75" ht="15" customHeight="1">
      <c r="A75" s="90"/>
      <c r="B75" s="91"/>
      <c r="C75" s="92"/>
      <c r="D75" s="93"/>
      <c r="E75" s="94">
        <f>$J$2</f>
        <v>0</v>
      </c>
      <c r="F75" s="95"/>
      <c r="G75" s="96"/>
      <c r="H75" s="97"/>
    </row>
    <row r="76" ht="15" customHeight="1">
      <c r="A76" s="83">
        <v>34</v>
      </c>
      <c r="B76" s="84" t="e" cm="1">
        <f t="array" ref="B76">INDEX('[10]Maintenance Plan'!$C$7:$K$568,A76,1)</f>
        <v>#REF!</v>
      </c>
      <c r="C76" s="85" t="e" cm="1">
        <f t="array" ref="C76">INDEX('[10]Maintenance Plan'!$C$7:$K$568,A76,3)</f>
        <v>#REF!</v>
      </c>
      <c r="D76" s="86" t="s">
        <v>6</v>
      </c>
      <c r="E76" s="87" t="e">
        <f>#REF!</f>
        <v>#REF!</v>
      </c>
      <c r="F76" s="88"/>
      <c r="G76" s="88"/>
      <c r="H76" s="89"/>
    </row>
    <row r="77" ht="15" customHeight="1">
      <c r="A77" s="90"/>
      <c r="B77" s="91"/>
      <c r="C77" s="92"/>
      <c r="D77" s="93"/>
      <c r="E77" s="94">
        <f>$J$2</f>
        <v>0</v>
      </c>
      <c r="F77" s="95"/>
      <c r="G77" s="96"/>
      <c r="H77" s="97"/>
    </row>
    <row r="78" ht="15" customHeight="1">
      <c r="A78" s="83">
        <v>35</v>
      </c>
      <c r="B78" s="84" t="e" cm="1">
        <f t="array" ref="B78">INDEX('[10]Maintenance Plan'!$C$7:$K$568,A78,1)</f>
        <v>#REF!</v>
      </c>
      <c r="C78" s="85" t="e" cm="1">
        <f t="array" ref="C78">INDEX('[10]Maintenance Plan'!$C$7:$K$568,A78,3)</f>
        <v>#REF!</v>
      </c>
      <c r="D78" s="86" t="s">
        <v>6</v>
      </c>
      <c r="E78" s="87" t="e">
        <f>#REF!</f>
        <v>#REF!</v>
      </c>
      <c r="F78" s="88"/>
      <c r="G78" s="88"/>
      <c r="H78" s="89"/>
    </row>
    <row r="79" ht="15" customHeight="1">
      <c r="A79" s="90"/>
      <c r="B79" s="91"/>
      <c r="C79" s="92"/>
      <c r="D79" s="93"/>
      <c r="E79" s="94">
        <f>$J$2</f>
        <v>0</v>
      </c>
      <c r="F79" s="95"/>
      <c r="G79" s="96"/>
      <c r="H79" s="97"/>
    </row>
    <row r="80" ht="15" customHeight="1">
      <c r="A80" s="83">
        <v>36</v>
      </c>
      <c r="B80" s="84" t="e" cm="1">
        <f t="array" ref="B80">INDEX('[10]Maintenance Plan'!$C$7:$K$568,A80,1)</f>
        <v>#REF!</v>
      </c>
      <c r="C80" s="85" t="e" cm="1">
        <f t="array" ref="C80">INDEX('[10]Maintenance Plan'!$C$7:$K$568,A80,3)</f>
        <v>#REF!</v>
      </c>
      <c r="D80" s="86" t="s">
        <v>6</v>
      </c>
      <c r="E80" s="87" t="e">
        <f>#REF!</f>
        <v>#REF!</v>
      </c>
      <c r="F80" s="88"/>
      <c r="G80" s="88"/>
      <c r="H80" s="89"/>
    </row>
    <row r="81" ht="15" customHeight="1">
      <c r="A81" s="90"/>
      <c r="B81" s="91"/>
      <c r="C81" s="92"/>
      <c r="D81" s="93"/>
      <c r="E81" s="94">
        <f>$J$2</f>
        <v>0</v>
      </c>
      <c r="F81" s="95"/>
      <c r="G81" s="96"/>
      <c r="H81" s="97"/>
    </row>
    <row r="82" ht="15" customHeight="1">
      <c r="A82" s="83">
        <v>37</v>
      </c>
      <c r="B82" s="84" t="e" cm="1">
        <f t="array" ref="B82">INDEX('[10]Maintenance Plan'!$C$7:$K$568,A82,1)</f>
        <v>#REF!</v>
      </c>
      <c r="C82" s="85" t="e" cm="1">
        <f t="array" ref="C82">INDEX('[10]Maintenance Plan'!$C$7:$K$568,A82,3)</f>
        <v>#REF!</v>
      </c>
      <c r="D82" s="86" t="s">
        <v>6</v>
      </c>
      <c r="E82" s="87" t="e">
        <f>#REF!</f>
        <v>#REF!</v>
      </c>
      <c r="F82" s="88"/>
      <c r="G82" s="88"/>
      <c r="H82" s="89"/>
    </row>
    <row r="83" ht="15" customHeight="1">
      <c r="A83" s="90"/>
      <c r="B83" s="91"/>
      <c r="C83" s="92"/>
      <c r="D83" s="93"/>
      <c r="E83" s="94">
        <f>$J$2</f>
        <v>0</v>
      </c>
      <c r="F83" s="95"/>
      <c r="G83" s="96"/>
      <c r="H83" s="97"/>
    </row>
    <row r="84" ht="15" customHeight="1">
      <c r="A84" s="83">
        <v>38</v>
      </c>
      <c r="B84" s="84" t="e" cm="1">
        <f t="array" ref="B84">INDEX('[10]Maintenance Plan'!$C$7:$K$568,A84,1)</f>
        <v>#REF!</v>
      </c>
      <c r="C84" s="85" t="e" cm="1">
        <f t="array" ref="C84">INDEX('[10]Maintenance Plan'!$C$7:$K$568,A84,3)</f>
        <v>#REF!</v>
      </c>
      <c r="D84" s="86" t="s">
        <v>6</v>
      </c>
      <c r="E84" s="87" t="e">
        <f>#REF!</f>
        <v>#REF!</v>
      </c>
      <c r="F84" s="88"/>
      <c r="G84" s="88"/>
      <c r="H84" s="89"/>
    </row>
    <row r="85" ht="15" customHeight="1">
      <c r="A85" s="90"/>
      <c r="B85" s="91"/>
      <c r="C85" s="92"/>
      <c r="D85" s="93"/>
      <c r="E85" s="94">
        <f>$J$2</f>
        <v>0</v>
      </c>
      <c r="F85" s="95"/>
      <c r="G85" s="96"/>
      <c r="H85" s="97"/>
    </row>
    <row r="86" ht="15" customHeight="1">
      <c r="A86" s="83">
        <v>39</v>
      </c>
      <c r="B86" s="84" t="e" cm="1">
        <f t="array" ref="B86">INDEX('[10]Maintenance Plan'!$C$7:$K$568,A86,1)</f>
        <v>#REF!</v>
      </c>
      <c r="C86" s="85" t="e" cm="1">
        <f t="array" ref="C86">INDEX('[10]Maintenance Plan'!$C$7:$K$568,A86,3)</f>
        <v>#REF!</v>
      </c>
      <c r="D86" s="86" t="s">
        <v>6</v>
      </c>
      <c r="E86" s="87" t="e">
        <f>#REF!</f>
        <v>#REF!</v>
      </c>
      <c r="F86" s="88"/>
      <c r="G86" s="88"/>
      <c r="H86" s="89"/>
    </row>
    <row r="87" ht="15" customHeight="1">
      <c r="A87" s="90"/>
      <c r="B87" s="91"/>
      <c r="C87" s="92"/>
      <c r="D87" s="93"/>
      <c r="E87" s="94">
        <f>$J$2</f>
        <v>0</v>
      </c>
      <c r="F87" s="95"/>
      <c r="G87" s="96"/>
      <c r="H87" s="97"/>
    </row>
    <row r="88" ht="15" customHeight="1">
      <c r="A88" s="83">
        <v>40</v>
      </c>
      <c r="B88" s="84" t="e" cm="1">
        <f t="array" ref="B88">INDEX('[10]Maintenance Plan'!$C$7:$K$568,A88,1)</f>
        <v>#REF!</v>
      </c>
      <c r="C88" s="85" t="e" cm="1">
        <f t="array" ref="C88">INDEX('[10]Maintenance Plan'!$C$7:$K$568,A88,3)</f>
        <v>#REF!</v>
      </c>
      <c r="D88" s="86" t="s">
        <v>6</v>
      </c>
      <c r="E88" s="87" t="e">
        <f>#REF!</f>
        <v>#REF!</v>
      </c>
      <c r="F88" s="88"/>
      <c r="G88" s="88"/>
      <c r="H88" s="89"/>
    </row>
    <row r="89" ht="15" customHeight="1">
      <c r="A89" s="90"/>
      <c r="B89" s="91"/>
      <c r="C89" s="92"/>
      <c r="D89" s="93"/>
      <c r="E89" s="94">
        <f>$J$2</f>
        <v>0</v>
      </c>
      <c r="F89" s="95"/>
      <c r="G89" s="96"/>
      <c r="H89" s="97"/>
    </row>
    <row r="90" ht="15" customHeight="1">
      <c r="A90" s="83">
        <v>41</v>
      </c>
      <c r="B90" s="84" t="e" cm="1">
        <f t="array" ref="B90">INDEX('[10]Maintenance Plan'!$C$7:$K$568,A90,1)</f>
        <v>#REF!</v>
      </c>
      <c r="C90" s="85" t="e" cm="1">
        <f t="array" ref="C90">INDEX('[10]Maintenance Plan'!$C$7:$K$568,A90,3)</f>
        <v>#REF!</v>
      </c>
      <c r="D90" s="86" t="s">
        <v>6</v>
      </c>
      <c r="E90" s="87" t="e">
        <f>#REF!</f>
        <v>#REF!</v>
      </c>
      <c r="F90" s="88"/>
      <c r="G90" s="88"/>
      <c r="H90" s="89"/>
    </row>
    <row r="91" ht="15" customHeight="1">
      <c r="A91" s="90"/>
      <c r="B91" s="91"/>
      <c r="C91" s="92"/>
      <c r="D91" s="93"/>
      <c r="E91" s="94">
        <f>$J$2</f>
        <v>0</v>
      </c>
      <c r="F91" s="95"/>
      <c r="G91" s="96"/>
      <c r="H91" s="97"/>
    </row>
    <row r="92" ht="15" customHeight="1">
      <c r="A92" s="83">
        <v>42</v>
      </c>
      <c r="B92" s="84" t="e" cm="1">
        <f t="array" ref="B92">INDEX('[10]Maintenance Plan'!$C$7:$K$568,A92,1)</f>
        <v>#REF!</v>
      </c>
      <c r="C92" s="85" t="e" cm="1">
        <f t="array" ref="C92">INDEX('[10]Maintenance Plan'!$C$7:$K$568,A92,3)</f>
        <v>#REF!</v>
      </c>
      <c r="D92" s="86" t="s">
        <v>6</v>
      </c>
      <c r="E92" s="87" t="e">
        <f>#REF!</f>
        <v>#REF!</v>
      </c>
      <c r="F92" s="88"/>
      <c r="G92" s="88"/>
      <c r="H92" s="89"/>
    </row>
    <row r="93" ht="15" customHeight="1">
      <c r="A93" s="90"/>
      <c r="B93" s="91"/>
      <c r="C93" s="92"/>
      <c r="D93" s="93"/>
      <c r="E93" s="94">
        <f>$J$2</f>
        <v>0</v>
      </c>
      <c r="F93" s="95"/>
      <c r="G93" s="96"/>
      <c r="H93" s="97"/>
    </row>
    <row r="94" hidden="1" ht="15" customHeight="1">
      <c r="A94" s="83">
        <v>43</v>
      </c>
      <c r="B94" s="84" t="e" cm="1">
        <f t="array" ref="B94">INDEX('[10]Maintenance Plan'!$C$7:$K$568,A94,1)</f>
        <v>#REF!</v>
      </c>
      <c r="C94" s="85" t="e" cm="1">
        <f t="array" ref="C94">INDEX('[10]Maintenance Plan'!$C$7:$K$568,A94,3)</f>
        <v>#REF!</v>
      </c>
      <c r="D94" s="86" t="s">
        <v>6</v>
      </c>
      <c r="E94" s="87" t="e">
        <f>#REF!</f>
        <v>#REF!</v>
      </c>
      <c r="F94" s="88"/>
      <c r="G94" s="88"/>
      <c r="H94" s="89"/>
    </row>
    <row r="95" hidden="1" ht="15" customHeight="1">
      <c r="A95" s="90"/>
      <c r="B95" s="91"/>
      <c r="C95" s="92"/>
      <c r="D95" s="93"/>
      <c r="E95" s="94">
        <f>$J$2</f>
        <v>0</v>
      </c>
      <c r="F95" s="95"/>
      <c r="G95" s="96"/>
      <c r="H95" s="97"/>
    </row>
    <row r="96" hidden="1" ht="15" customHeight="1">
      <c r="A96" s="83">
        <v>44</v>
      </c>
      <c r="B96" s="84" t="e" cm="1">
        <f t="array" ref="B96">INDEX('[10]Maintenance Plan'!$C$7:$K$568,A96,1)</f>
        <v>#REF!</v>
      </c>
      <c r="C96" s="85" t="e" cm="1">
        <f t="array" ref="C96">INDEX('[10]Maintenance Plan'!$C$7:$K$568,A96,3)</f>
        <v>#REF!</v>
      </c>
      <c r="D96" s="86" t="s">
        <v>6</v>
      </c>
      <c r="E96" s="87" t="e">
        <f>#REF!</f>
        <v>#REF!</v>
      </c>
      <c r="F96" s="88"/>
      <c r="G96" s="88"/>
      <c r="H96" s="89"/>
    </row>
    <row r="97" hidden="1" ht="15" customHeight="1">
      <c r="A97" s="90"/>
      <c r="B97" s="91"/>
      <c r="C97" s="92"/>
      <c r="D97" s="93"/>
      <c r="E97" s="94">
        <f>$J$2</f>
        <v>0</v>
      </c>
      <c r="F97" s="95"/>
      <c r="G97" s="96"/>
      <c r="H97" s="97"/>
    </row>
    <row r="98" hidden="1" ht="15" customHeight="1">
      <c r="A98" s="83">
        <v>45</v>
      </c>
      <c r="B98" s="84" t="e" cm="1">
        <f t="array" ref="B98">INDEX('[10]Maintenance Plan'!$C$7:$K$568,A98,1)</f>
        <v>#REF!</v>
      </c>
      <c r="C98" s="85" t="e" cm="1">
        <f t="array" ref="C98">INDEX('[10]Maintenance Plan'!$C$7:$K$568,A98,3)</f>
        <v>#REF!</v>
      </c>
      <c r="D98" s="86" t="s">
        <v>6</v>
      </c>
      <c r="E98" s="87" t="e">
        <f>#REF!</f>
        <v>#REF!</v>
      </c>
      <c r="F98" s="88"/>
      <c r="G98" s="88"/>
      <c r="H98" s="89"/>
    </row>
    <row r="99" hidden="1" ht="15" customHeight="1">
      <c r="A99" s="90"/>
      <c r="B99" s="91"/>
      <c r="C99" s="92"/>
      <c r="D99" s="93"/>
      <c r="E99" s="94">
        <f>$J$2</f>
        <v>0</v>
      </c>
      <c r="F99" s="95"/>
      <c r="G99" s="96"/>
      <c r="H99" s="97"/>
    </row>
    <row r="100" hidden="1" ht="15" customHeight="1">
      <c r="A100" s="83">
        <v>46</v>
      </c>
      <c r="B100" s="84" t="e" cm="1">
        <f t="array" ref="B100">INDEX('[10]Maintenance Plan'!$C$7:$K$568,A100,1)</f>
        <v>#REF!</v>
      </c>
      <c r="C100" s="85" t="e" cm="1">
        <f t="array" ref="C100">INDEX('[10]Maintenance Plan'!$C$7:$K$568,A100,3)</f>
        <v>#REF!</v>
      </c>
      <c r="D100" s="86" t="s">
        <v>6</v>
      </c>
      <c r="E100" s="87" t="e">
        <f>#REF!</f>
        <v>#REF!</v>
      </c>
      <c r="F100" s="88"/>
      <c r="G100" s="88"/>
      <c r="H100" s="89"/>
    </row>
    <row r="101" hidden="1" ht="15" customHeight="1">
      <c r="A101" s="90"/>
      <c r="B101" s="91"/>
      <c r="C101" s="92"/>
      <c r="D101" s="93"/>
      <c r="E101" s="94">
        <f>$J$2</f>
        <v>0</v>
      </c>
      <c r="F101" s="95"/>
      <c r="G101" s="96"/>
      <c r="H101" s="97"/>
    </row>
    <row r="102" hidden="1" ht="15" customHeight="1">
      <c r="A102" s="83">
        <v>47</v>
      </c>
      <c r="B102" s="84" t="e" cm="1">
        <f t="array" ref="B102">INDEX('[10]Maintenance Plan'!$C$7:$K$568,A102,1)</f>
        <v>#REF!</v>
      </c>
      <c r="C102" s="85" t="e" cm="1">
        <f t="array" ref="C102">INDEX('[10]Maintenance Plan'!$C$7:$K$568,A102,3)</f>
        <v>#REF!</v>
      </c>
      <c r="D102" s="86" t="s">
        <v>6</v>
      </c>
      <c r="E102" s="87" t="e">
        <f>#REF!</f>
        <v>#REF!</v>
      </c>
      <c r="F102" s="88"/>
      <c r="G102" s="88"/>
      <c r="H102" s="89"/>
    </row>
    <row r="103" hidden="1" ht="15" customHeight="1">
      <c r="A103" s="90"/>
      <c r="B103" s="91"/>
      <c r="C103" s="92"/>
      <c r="D103" s="93"/>
      <c r="E103" s="94">
        <f>$J$2</f>
        <v>0</v>
      </c>
      <c r="F103" s="95"/>
      <c r="G103" s="96"/>
      <c r="H103" s="97"/>
    </row>
    <row r="104" hidden="1" ht="15" customHeight="1">
      <c r="A104" s="83">
        <v>48</v>
      </c>
      <c r="B104" s="84" t="e" cm="1">
        <f t="array" ref="B104">INDEX('[10]Maintenance Plan'!$C$7:$K$568,A104,1)</f>
        <v>#REF!</v>
      </c>
      <c r="C104" s="85" t="e" cm="1">
        <f t="array" ref="C104">INDEX('[10]Maintenance Plan'!$C$7:$K$568,A104,3)</f>
        <v>#REF!</v>
      </c>
      <c r="D104" s="86" t="s">
        <v>6</v>
      </c>
      <c r="E104" s="87" t="e">
        <f>#REF!</f>
        <v>#REF!</v>
      </c>
      <c r="F104" s="88"/>
      <c r="G104" s="88"/>
      <c r="H104" s="89"/>
    </row>
    <row r="105" hidden="1" ht="15" customHeight="1">
      <c r="A105" s="90"/>
      <c r="B105" s="91"/>
      <c r="C105" s="92"/>
      <c r="D105" s="93"/>
      <c r="E105" s="94">
        <f>$J$2</f>
        <v>0</v>
      </c>
      <c r="F105" s="95"/>
      <c r="G105" s="96"/>
      <c r="H105" s="97"/>
    </row>
    <row r="106" hidden="1" ht="15" customHeight="1">
      <c r="A106" s="83">
        <v>49</v>
      </c>
      <c r="B106" s="84" t="e" cm="1">
        <f t="array" ref="B106">INDEX('[10]Maintenance Plan'!$C$7:$K$568,A106,1)</f>
        <v>#REF!</v>
      </c>
      <c r="C106" s="85" t="e" cm="1">
        <f t="array" ref="C106">INDEX('[10]Maintenance Plan'!$C$7:$K$568,A106,3)</f>
        <v>#REF!</v>
      </c>
      <c r="D106" s="86" t="s">
        <v>6</v>
      </c>
      <c r="E106" s="87" t="e">
        <f>#REF!</f>
        <v>#REF!</v>
      </c>
      <c r="F106" s="88"/>
      <c r="G106" s="88"/>
      <c r="H106" s="89"/>
    </row>
    <row r="107" hidden="1" ht="15" customHeight="1">
      <c r="A107" s="90"/>
      <c r="B107" s="91"/>
      <c r="C107" s="92"/>
      <c r="D107" s="93"/>
      <c r="E107" s="94">
        <f>$J$2</f>
        <v>0</v>
      </c>
      <c r="F107" s="95"/>
      <c r="G107" s="96"/>
      <c r="H107" s="97"/>
    </row>
    <row r="108" hidden="1" ht="15" customHeight="1">
      <c r="A108" s="83">
        <v>50</v>
      </c>
      <c r="B108" s="84" t="e" cm="1">
        <f t="array" ref="B108">INDEX('[10]Maintenance Plan'!$C$7:$K$568,A108,1)</f>
        <v>#REF!</v>
      </c>
      <c r="C108" s="85" t="e" cm="1">
        <f t="array" ref="C108">INDEX('[10]Maintenance Plan'!$C$7:$K$568,A108,3)</f>
        <v>#REF!</v>
      </c>
      <c r="D108" s="86" t="s">
        <v>6</v>
      </c>
      <c r="E108" s="87" t="e">
        <f>#REF!</f>
        <v>#REF!</v>
      </c>
      <c r="F108" s="88"/>
      <c r="G108" s="88"/>
      <c r="H108" s="89"/>
    </row>
    <row r="109" hidden="1" ht="15" customHeight="1">
      <c r="A109" s="90"/>
      <c r="B109" s="91"/>
      <c r="C109" s="92"/>
      <c r="D109" s="93"/>
      <c r="E109" s="94">
        <f>$J$2</f>
        <v>0</v>
      </c>
      <c r="F109" s="95"/>
      <c r="G109" s="96"/>
      <c r="H109" s="97"/>
    </row>
    <row r="110" hidden="1" ht="15" customHeight="1">
      <c r="A110" s="83">
        <v>51</v>
      </c>
      <c r="B110" s="84" t="e" cm="1">
        <f t="array" ref="B110">INDEX('[10]Maintenance Plan'!$C$7:$K$568,A110,1)</f>
        <v>#REF!</v>
      </c>
      <c r="C110" s="85" t="e" cm="1">
        <f t="array" ref="C110">INDEX('[10]Maintenance Plan'!$C$7:$K$568,A110,3)</f>
        <v>#REF!</v>
      </c>
      <c r="D110" s="86" t="s">
        <v>6</v>
      </c>
      <c r="E110" s="87" t="e">
        <f>#REF!</f>
        <v>#REF!</v>
      </c>
      <c r="F110" s="88"/>
      <c r="G110" s="88"/>
      <c r="H110" s="89"/>
    </row>
    <row r="111" hidden="1" ht="15" customHeight="1">
      <c r="A111" s="90"/>
      <c r="B111" s="91"/>
      <c r="C111" s="92"/>
      <c r="D111" s="93"/>
      <c r="E111" s="94">
        <f>$J$2</f>
        <v>0</v>
      </c>
      <c r="F111" s="95"/>
      <c r="G111" s="96"/>
      <c r="H111" s="97"/>
    </row>
    <row r="112" hidden="1" ht="15" customHeight="1">
      <c r="A112" s="83">
        <v>52</v>
      </c>
      <c r="B112" s="84" t="e" cm="1">
        <f t="array" ref="B112">INDEX('[10]Maintenance Plan'!$C$7:$K$568,A112,1)</f>
        <v>#REF!</v>
      </c>
      <c r="C112" s="85" t="e" cm="1">
        <f t="array" ref="C112">INDEX('[10]Maintenance Plan'!$C$7:$K$568,A112,3)</f>
        <v>#REF!</v>
      </c>
      <c r="D112" s="86" t="s">
        <v>6</v>
      </c>
      <c r="E112" s="87" t="e">
        <f>#REF!</f>
        <v>#REF!</v>
      </c>
      <c r="F112" s="88"/>
      <c r="G112" s="88"/>
      <c r="H112" s="89"/>
    </row>
    <row r="113" hidden="1" ht="15" customHeight="1">
      <c r="A113" s="90"/>
      <c r="B113" s="91"/>
      <c r="C113" s="92"/>
      <c r="D113" s="93"/>
      <c r="E113" s="94">
        <f>$J$2</f>
        <v>0</v>
      </c>
      <c r="F113" s="95"/>
      <c r="G113" s="96"/>
      <c r="H113" s="97"/>
    </row>
    <row r="114" hidden="1" ht="15" customHeight="1">
      <c r="A114" s="83">
        <v>53</v>
      </c>
      <c r="B114" s="84" t="e" cm="1">
        <f t="array" ref="B114">INDEX('[10]Maintenance Plan'!$C$7:$K$568,A114,1)</f>
        <v>#REF!</v>
      </c>
      <c r="C114" s="85" t="e" cm="1">
        <f t="array" ref="C114">INDEX('[10]Maintenance Plan'!$C$7:$K$568,A114,3)</f>
        <v>#REF!</v>
      </c>
      <c r="D114" s="86" t="s">
        <v>6</v>
      </c>
      <c r="E114" s="87" t="e">
        <f>#REF!</f>
        <v>#REF!</v>
      </c>
      <c r="F114" s="88"/>
      <c r="G114" s="88"/>
      <c r="H114" s="89"/>
    </row>
    <row r="115" hidden="1" ht="15" customHeight="1">
      <c r="A115" s="90"/>
      <c r="B115" s="91"/>
      <c r="C115" s="92"/>
      <c r="D115" s="93"/>
      <c r="E115" s="94">
        <f>$J$2</f>
        <v>0</v>
      </c>
      <c r="F115" s="95"/>
      <c r="G115" s="96"/>
      <c r="H115" s="97"/>
    </row>
    <row r="116" hidden="1" ht="15" customHeight="1">
      <c r="A116" s="83">
        <v>54</v>
      </c>
      <c r="B116" s="84" t="e" cm="1">
        <f t="array" ref="B116">INDEX('[10]Maintenance Plan'!$C$7:$K$568,A116,1)</f>
        <v>#REF!</v>
      </c>
      <c r="C116" s="85" t="e" cm="1">
        <f t="array" ref="C116">INDEX('[10]Maintenance Plan'!$C$7:$K$568,A116,3)</f>
        <v>#REF!</v>
      </c>
      <c r="D116" s="86" t="s">
        <v>6</v>
      </c>
      <c r="E116" s="87" t="e">
        <f>#REF!</f>
        <v>#REF!</v>
      </c>
      <c r="F116" s="88"/>
      <c r="G116" s="88"/>
      <c r="H116" s="89"/>
    </row>
    <row r="117" hidden="1" ht="15" customHeight="1">
      <c r="A117" s="90"/>
      <c r="B117" s="91"/>
      <c r="C117" s="92"/>
      <c r="D117" s="93"/>
      <c r="E117" s="94">
        <f>$J$2</f>
        <v>0</v>
      </c>
      <c r="F117" s="95"/>
      <c r="G117" s="96"/>
      <c r="H117" s="97"/>
    </row>
    <row r="118" hidden="1" ht="15" customHeight="1">
      <c r="A118" s="83">
        <v>55</v>
      </c>
      <c r="B118" s="84" t="e" cm="1">
        <f t="array" ref="B118">INDEX('[10]Maintenance Plan'!$C$7:$K$568,A118,1)</f>
        <v>#REF!</v>
      </c>
      <c r="C118" s="85" t="e" cm="1">
        <f t="array" ref="C118">INDEX('[10]Maintenance Plan'!$C$7:$K$568,A118,3)</f>
        <v>#REF!</v>
      </c>
      <c r="D118" s="86" t="s">
        <v>6</v>
      </c>
      <c r="E118" s="87" t="e">
        <f>#REF!</f>
        <v>#REF!</v>
      </c>
      <c r="F118" s="88"/>
      <c r="G118" s="88"/>
      <c r="H118" s="89"/>
    </row>
    <row r="119" hidden="1" ht="15" customHeight="1">
      <c r="A119" s="90"/>
      <c r="B119" s="91"/>
      <c r="C119" s="92"/>
      <c r="D119" s="93"/>
      <c r="E119" s="94">
        <f>$J$2</f>
        <v>0</v>
      </c>
      <c r="F119" s="95"/>
      <c r="G119" s="96"/>
      <c r="H119" s="97"/>
    </row>
    <row r="120" hidden="1" ht="15" customHeight="1">
      <c r="A120" s="83">
        <v>56</v>
      </c>
      <c r="B120" s="84" t="e" cm="1">
        <f t="array" ref="B120">INDEX('[10]Maintenance Plan'!$C$7:$K$568,A120,1)</f>
        <v>#REF!</v>
      </c>
      <c r="C120" s="85" t="e" cm="1">
        <f t="array" ref="C120">INDEX('[10]Maintenance Plan'!$C$7:$K$568,A120,3)</f>
        <v>#REF!</v>
      </c>
      <c r="D120" s="86" t="s">
        <v>6</v>
      </c>
      <c r="E120" s="87" t="e">
        <f>#REF!</f>
        <v>#REF!</v>
      </c>
      <c r="F120" s="88"/>
      <c r="G120" s="88"/>
      <c r="H120" s="89"/>
    </row>
    <row r="121" hidden="1" ht="15" customHeight="1">
      <c r="A121" s="90"/>
      <c r="B121" s="91"/>
      <c r="C121" s="92"/>
      <c r="D121" s="93"/>
      <c r="E121" s="94">
        <f>$J$2</f>
        <v>0</v>
      </c>
      <c r="F121" s="95"/>
      <c r="G121" s="96"/>
      <c r="H121" s="97"/>
    </row>
    <row r="122" hidden="1" ht="15" customHeight="1">
      <c r="A122" s="83">
        <v>57</v>
      </c>
      <c r="B122" s="84" t="e" cm="1">
        <f t="array" ref="B122">INDEX('[10]Maintenance Plan'!$C$7:$K$568,A122,1)</f>
        <v>#REF!</v>
      </c>
      <c r="C122" s="85" t="e" cm="1">
        <f t="array" ref="C122">INDEX('[10]Maintenance Plan'!$C$7:$K$568,A122,3)</f>
        <v>#REF!</v>
      </c>
      <c r="D122" s="86" t="s">
        <v>6</v>
      </c>
      <c r="E122" s="87" t="e">
        <f>#REF!</f>
        <v>#REF!</v>
      </c>
      <c r="F122" s="88"/>
      <c r="G122" s="88"/>
      <c r="H122" s="89"/>
    </row>
    <row r="123" hidden="1" ht="15" customHeight="1">
      <c r="A123" s="90"/>
      <c r="B123" s="91"/>
      <c r="C123" s="92"/>
      <c r="D123" s="93"/>
      <c r="E123" s="94">
        <f>$J$2</f>
        <v>0</v>
      </c>
      <c r="F123" s="95"/>
      <c r="G123" s="96"/>
      <c r="H123" s="97"/>
    </row>
    <row r="124" hidden="1" ht="15" customHeight="1">
      <c r="A124" s="83">
        <v>58</v>
      </c>
      <c r="B124" s="84" t="e" cm="1">
        <f t="array" ref="B124">INDEX('[10]Maintenance Plan'!$C$7:$K$568,A124,1)</f>
        <v>#REF!</v>
      </c>
      <c r="C124" s="85" t="e" cm="1">
        <f t="array" ref="C124">INDEX('[10]Maintenance Plan'!$C$7:$K$568,A124,3)</f>
        <v>#REF!</v>
      </c>
      <c r="D124" s="86" t="s">
        <v>6</v>
      </c>
      <c r="E124" s="87" t="e">
        <f>#REF!</f>
        <v>#REF!</v>
      </c>
      <c r="F124" s="88"/>
      <c r="G124" s="88"/>
      <c r="H124" s="89"/>
    </row>
    <row r="125" hidden="1" ht="15" customHeight="1">
      <c r="A125" s="90"/>
      <c r="B125" s="91"/>
      <c r="C125" s="92"/>
      <c r="D125" s="93"/>
      <c r="E125" s="94">
        <f>$J$2</f>
        <v>0</v>
      </c>
      <c r="F125" s="95"/>
      <c r="G125" s="96"/>
      <c r="H125" s="97"/>
    </row>
    <row r="126" hidden="1" ht="15" customHeight="1">
      <c r="A126" s="83">
        <v>59</v>
      </c>
      <c r="B126" s="84" t="e" cm="1">
        <f t="array" ref="B126">INDEX('[10]Maintenance Plan'!$C$7:$K$568,A126,1)</f>
        <v>#REF!</v>
      </c>
      <c r="C126" s="85" t="e" cm="1">
        <f t="array" ref="C126">INDEX('[10]Maintenance Plan'!$C$7:$K$568,A126,3)</f>
        <v>#REF!</v>
      </c>
      <c r="D126" s="86" t="s">
        <v>6</v>
      </c>
      <c r="E126" s="87" t="e">
        <f>#REF!</f>
        <v>#REF!</v>
      </c>
      <c r="F126" s="88"/>
      <c r="G126" s="88"/>
      <c r="H126" s="89"/>
    </row>
    <row r="127" hidden="1" ht="15" customHeight="1">
      <c r="A127" s="90"/>
      <c r="B127" s="91"/>
      <c r="C127" s="92"/>
      <c r="D127" s="93"/>
      <c r="E127" s="94">
        <f>$J$2</f>
        <v>0</v>
      </c>
      <c r="F127" s="95"/>
      <c r="G127" s="96"/>
      <c r="H127" s="97"/>
    </row>
    <row r="128" hidden="1" ht="15" customHeight="1">
      <c r="A128" s="83">
        <v>60</v>
      </c>
      <c r="B128" s="84" t="e" cm="1">
        <f t="array" ref="B128">INDEX('[10]Maintenance Plan'!$C$7:$K$568,A128,1)</f>
        <v>#REF!</v>
      </c>
      <c r="C128" s="85" t="e" cm="1">
        <f t="array" ref="C128">INDEX('[10]Maintenance Plan'!$C$7:$K$568,A128,3)</f>
        <v>#REF!</v>
      </c>
      <c r="D128" s="86" t="s">
        <v>6</v>
      </c>
      <c r="E128" s="87" t="e">
        <f>#REF!</f>
        <v>#REF!</v>
      </c>
      <c r="F128" s="88"/>
      <c r="G128" s="88"/>
      <c r="H128" s="89"/>
    </row>
    <row r="129" hidden="1" ht="15" customHeight="1">
      <c r="A129" s="90"/>
      <c r="B129" s="91"/>
      <c r="C129" s="92"/>
      <c r="D129" s="93"/>
      <c r="E129" s="94">
        <f>$J$2</f>
        <v>0</v>
      </c>
      <c r="F129" s="95"/>
      <c r="G129" s="96"/>
      <c r="H129" s="97"/>
    </row>
    <row r="130" hidden="1" ht="15" customHeight="1">
      <c r="A130" s="83">
        <v>61</v>
      </c>
      <c r="B130" s="84" t="e" cm="1">
        <f t="array" ref="B130">INDEX('[10]Maintenance Plan'!$C$7:$K$568,A130,1)</f>
        <v>#REF!</v>
      </c>
      <c r="C130" s="85" t="e" cm="1">
        <f t="array" ref="C130">INDEX('[10]Maintenance Plan'!$C$7:$K$568,A130,3)</f>
        <v>#REF!</v>
      </c>
      <c r="D130" s="86" t="s">
        <v>6</v>
      </c>
      <c r="E130" s="87" t="e">
        <f>#REF!</f>
        <v>#REF!</v>
      </c>
      <c r="F130" s="88"/>
      <c r="G130" s="88"/>
      <c r="H130" s="89"/>
    </row>
    <row r="131" hidden="1" ht="15" customHeight="1">
      <c r="A131" s="90"/>
      <c r="B131" s="91"/>
      <c r="C131" s="92"/>
      <c r="D131" s="93"/>
      <c r="E131" s="94">
        <f>$J$2</f>
        <v>0</v>
      </c>
      <c r="F131" s="95"/>
      <c r="G131" s="96"/>
      <c r="H131" s="97"/>
    </row>
    <row r="132" hidden="1" ht="15" customHeight="1">
      <c r="A132" s="83">
        <v>62</v>
      </c>
      <c r="B132" s="84" t="e" cm="1">
        <f t="array" ref="B132">INDEX('[10]Maintenance Plan'!$C$7:$K$568,A132,1)</f>
        <v>#REF!</v>
      </c>
      <c r="C132" s="85" t="e" cm="1">
        <f t="array" ref="C132">INDEX('[10]Maintenance Plan'!$C$7:$K$568,A132,3)</f>
        <v>#REF!</v>
      </c>
      <c r="D132" s="86" t="s">
        <v>6</v>
      </c>
      <c r="E132" s="87" t="e">
        <f>#REF!</f>
        <v>#REF!</v>
      </c>
      <c r="F132" s="88"/>
      <c r="G132" s="88"/>
      <c r="H132" s="89"/>
    </row>
    <row r="133" hidden="1" ht="15" customHeight="1">
      <c r="A133" s="90"/>
      <c r="B133" s="91"/>
      <c r="C133" s="92"/>
      <c r="D133" s="93"/>
      <c r="E133" s="94">
        <f>$J$2</f>
        <v>0</v>
      </c>
      <c r="F133" s="95"/>
      <c r="G133" s="96"/>
      <c r="H133" s="97"/>
    </row>
    <row r="134" hidden="1" ht="15" customHeight="1">
      <c r="A134" s="83">
        <v>63</v>
      </c>
      <c r="B134" s="84" t="e" cm="1">
        <f t="array" ref="B134">INDEX('[10]Maintenance Plan'!$C$7:$K$568,A134,1)</f>
        <v>#REF!</v>
      </c>
      <c r="C134" s="85" t="e" cm="1">
        <f t="array" ref="C134">INDEX('[10]Maintenance Plan'!$C$7:$K$568,A134,3)</f>
        <v>#REF!</v>
      </c>
      <c r="D134" s="86" t="s">
        <v>6</v>
      </c>
      <c r="E134" s="87" t="e">
        <f>#REF!</f>
        <v>#REF!</v>
      </c>
      <c r="F134" s="88"/>
      <c r="G134" s="88"/>
      <c r="H134" s="89"/>
    </row>
    <row r="135" hidden="1" ht="15" customHeight="1">
      <c r="A135" s="90"/>
      <c r="B135" s="91"/>
      <c r="C135" s="92"/>
      <c r="D135" s="93"/>
      <c r="E135" s="94">
        <f>$J$2</f>
        <v>0</v>
      </c>
      <c r="F135" s="95"/>
      <c r="G135" s="96"/>
      <c r="H135" s="97"/>
    </row>
    <row r="136" hidden="1" ht="15" customHeight="1">
      <c r="A136" s="83">
        <v>64</v>
      </c>
      <c r="B136" s="84" t="e" cm="1">
        <f t="array" ref="B136">INDEX('[10]Maintenance Plan'!$C$7:$K$568,A136,1)</f>
        <v>#REF!</v>
      </c>
      <c r="C136" s="85" t="e" cm="1">
        <f t="array" ref="C136">INDEX('[10]Maintenance Plan'!$C$7:$K$568,A136,3)</f>
        <v>#REF!</v>
      </c>
      <c r="D136" s="86" t="s">
        <v>6</v>
      </c>
      <c r="E136" s="87" t="e">
        <f>#REF!</f>
        <v>#REF!</v>
      </c>
      <c r="F136" s="88"/>
      <c r="G136" s="88"/>
      <c r="H136" s="89"/>
    </row>
    <row r="137" hidden="1" ht="15" customHeight="1">
      <c r="A137" s="90"/>
      <c r="B137" s="91"/>
      <c r="C137" s="92"/>
      <c r="D137" s="93"/>
      <c r="E137" s="94">
        <f>$J$2</f>
        <v>0</v>
      </c>
      <c r="F137" s="95"/>
      <c r="G137" s="96"/>
      <c r="H137" s="97"/>
    </row>
    <row r="138" hidden="1" ht="15" customHeight="1">
      <c r="A138" s="83">
        <v>65</v>
      </c>
      <c r="B138" s="84" t="e" cm="1">
        <f t="array" ref="B138">INDEX('[10]Maintenance Plan'!$C$7:$K$568,A138,1)</f>
        <v>#REF!</v>
      </c>
      <c r="C138" s="85" t="e" cm="1">
        <f t="array" ref="C138">INDEX('[10]Maintenance Plan'!$C$7:$K$568,A138,3)</f>
        <v>#REF!</v>
      </c>
      <c r="D138" s="86" t="s">
        <v>6</v>
      </c>
      <c r="E138" s="87" t="e">
        <f>#REF!</f>
        <v>#REF!</v>
      </c>
      <c r="F138" s="88"/>
      <c r="G138" s="88"/>
      <c r="H138" s="89"/>
    </row>
    <row r="139" hidden="1" ht="15" customHeight="1">
      <c r="A139" s="90"/>
      <c r="B139" s="91"/>
      <c r="C139" s="92"/>
      <c r="D139" s="93"/>
      <c r="E139" s="94">
        <f>$J$2</f>
        <v>0</v>
      </c>
      <c r="F139" s="95"/>
      <c r="G139" s="96"/>
      <c r="H139" s="97"/>
    </row>
    <row r="140" s="5" customFormat="1">
      <c r="B140" s="77"/>
    </row>
    <row r="141" s="5" customFormat="1">
      <c r="B141" s="77"/>
    </row>
    <row r="142" s="5" customFormat="1">
      <c r="B142" s="77"/>
    </row>
    <row r="143" s="5" customFormat="1">
      <c r="B143" s="77"/>
    </row>
    <row r="144" s="5" customFormat="1">
      <c r="B144" s="77"/>
    </row>
    <row r="145" s="5" customFormat="1">
      <c r="B145" s="77"/>
    </row>
    <row r="146" s="5" customFormat="1">
      <c r="B146" s="77"/>
    </row>
    <row r="147" s="5" customFormat="1">
      <c r="B147" s="77"/>
    </row>
    <row r="148" s="5" customFormat="1">
      <c r="B148" s="77"/>
    </row>
    <row r="149" s="5" customFormat="1">
      <c r="B149" s="77"/>
    </row>
    <row r="150" s="5" customFormat="1">
      <c r="B150" s="77"/>
    </row>
    <row r="151" s="5" customFormat="1">
      <c r="B151" s="77"/>
    </row>
    <row r="152" s="5" customFormat="1">
      <c r="B152" s="77"/>
    </row>
    <row r="153" s="5" customFormat="1">
      <c r="B153" s="77"/>
    </row>
    <row r="154" s="5" customFormat="1">
      <c r="B154" s="77"/>
    </row>
    <row r="155" s="5" customFormat="1">
      <c r="B155" s="77"/>
    </row>
    <row r="156" s="5" customFormat="1">
      <c r="B156" s="77"/>
    </row>
    <row r="157" s="5" customFormat="1">
      <c r="B157" s="77"/>
    </row>
    <row r="158" s="5" customFormat="1">
      <c r="B158" s="77"/>
    </row>
    <row r="159" s="5" customFormat="1">
      <c r="B159" s="77"/>
    </row>
    <row r="160" s="5" customFormat="1">
      <c r="B160" s="77"/>
    </row>
    <row r="161" s="5" customFormat="1">
      <c r="B161" s="77"/>
    </row>
    <row r="162" s="5" customFormat="1">
      <c r="B162" s="77"/>
    </row>
    <row r="163" s="5" customFormat="1">
      <c r="B163" s="77"/>
    </row>
    <row r="164" s="5" customFormat="1">
      <c r="B164" s="77"/>
    </row>
    <row r="165" s="5" customFormat="1">
      <c r="B165" s="77"/>
    </row>
    <row r="166" s="5" customFormat="1">
      <c r="B166" s="77"/>
    </row>
    <row r="167" s="5" customFormat="1">
      <c r="B167" s="77"/>
    </row>
    <row r="168" s="5" customFormat="1">
      <c r="B168" s="77"/>
    </row>
    <row r="169" s="5" customFormat="1">
      <c r="B169" s="77"/>
    </row>
    <row r="170" s="5" customFormat="1">
      <c r="B170" s="77"/>
    </row>
    <row r="171" s="5" customFormat="1">
      <c r="B171" s="77"/>
    </row>
    <row r="172" s="5" customFormat="1">
      <c r="B172" s="77"/>
    </row>
    <row r="173" s="5" customFormat="1">
      <c r="B173" s="77"/>
    </row>
    <row r="174" s="5" customFormat="1">
      <c r="B174" s="77"/>
    </row>
    <row r="175" s="5" customFormat="1">
      <c r="B175" s="77"/>
    </row>
    <row r="176" s="5" customFormat="1">
      <c r="B176" s="77"/>
    </row>
    <row r="177" s="5" customFormat="1">
      <c r="B177" s="77"/>
    </row>
    <row r="178" s="5" customFormat="1">
      <c r="B178" s="77"/>
    </row>
    <row r="179" s="5" customFormat="1">
      <c r="B179" s="77"/>
    </row>
    <row r="180" s="5" customFormat="1">
      <c r="B180" s="77"/>
    </row>
    <row r="181" s="5" customFormat="1">
      <c r="B181" s="77"/>
    </row>
    <row r="182" s="5" customFormat="1">
      <c r="B182" s="77"/>
    </row>
    <row r="183" s="5" customFormat="1">
      <c r="B183" s="77"/>
    </row>
    <row r="184" s="5" customFormat="1">
      <c r="B184" s="77"/>
    </row>
    <row r="185" s="5" customFormat="1">
      <c r="B185" s="77"/>
    </row>
    <row r="186" s="5" customFormat="1">
      <c r="B186" s="77"/>
    </row>
    <row r="187" s="5" customFormat="1">
      <c r="B187" s="77"/>
    </row>
    <row r="188" s="5" customFormat="1">
      <c r="B188" s="77"/>
    </row>
    <row r="189" s="5" customFormat="1">
      <c r="B189" s="77"/>
    </row>
    <row r="190" s="5" customFormat="1">
      <c r="B190" s="77"/>
    </row>
    <row r="191" s="5" customFormat="1">
      <c r="B191" s="77"/>
    </row>
    <row r="192" s="5" customFormat="1">
      <c r="B192" s="77"/>
    </row>
    <row r="193" s="5" customFormat="1">
      <c r="B193" s="77"/>
    </row>
    <row r="194" s="5" customFormat="1">
      <c r="B194" s="77"/>
    </row>
    <row r="195" s="5" customFormat="1">
      <c r="B195" s="77"/>
    </row>
    <row r="196" s="5" customFormat="1">
      <c r="B196" s="77"/>
    </row>
    <row r="197" s="5" customFormat="1">
      <c r="B197" s="77"/>
    </row>
    <row r="198" s="5" customFormat="1">
      <c r="B198" s="77"/>
    </row>
    <row r="199" s="5" customFormat="1">
      <c r="B199" s="77"/>
    </row>
    <row r="200" s="5" customFormat="1">
      <c r="B200" s="77"/>
    </row>
    <row r="201" s="5" customFormat="1">
      <c r="B201" s="77"/>
      <c r="C201" s="79"/>
    </row>
    <row r="202" s="5" customFormat="1">
      <c r="B202" s="77"/>
    </row>
    <row r="203" s="5" customFormat="1">
      <c r="B203" s="77"/>
    </row>
    <row r="204" s="5" customFormat="1">
      <c r="B204" s="77"/>
    </row>
    <row r="205" s="5" customFormat="1">
      <c r="B205" s="77"/>
    </row>
    <row r="206" s="5" customFormat="1">
      <c r="B206" s="77"/>
    </row>
    <row r="207" s="5" customFormat="1">
      <c r="B207" s="77"/>
    </row>
    <row r="208" s="5" customFormat="1">
      <c r="B208" s="77"/>
    </row>
    <row r="209" s="5" customFormat="1">
      <c r="B209" s="77"/>
    </row>
    <row r="210" s="5" customFormat="1">
      <c r="B210" s="77"/>
    </row>
    <row r="211" s="5" customFormat="1">
      <c r="B211" s="77"/>
    </row>
    <row r="212" s="5" customFormat="1">
      <c r="B212" s="77"/>
    </row>
    <row r="213" s="5" customFormat="1">
      <c r="B213" s="77"/>
    </row>
    <row r="214" s="5" customFormat="1">
      <c r="B214" s="77"/>
    </row>
    <row r="215" s="5" customFormat="1">
      <c r="B215" s="77"/>
    </row>
    <row r="216" s="5" customFormat="1">
      <c r="B216" s="77"/>
    </row>
    <row r="217" s="5" customFormat="1">
      <c r="B217" s="77"/>
    </row>
    <row r="218" s="5" customFormat="1">
      <c r="B218" s="77"/>
    </row>
    <row r="219" s="5" customFormat="1">
      <c r="B219" s="77"/>
    </row>
    <row r="220" s="5" customFormat="1">
      <c r="B220" s="77"/>
    </row>
    <row r="221" s="5" customFormat="1">
      <c r="B221" s="77"/>
    </row>
    <row r="222" s="5" customFormat="1">
      <c r="B222" s="77"/>
    </row>
    <row r="223" s="5" customFormat="1">
      <c r="B223" s="77"/>
    </row>
    <row r="224" s="5" customFormat="1">
      <c r="B224" s="77"/>
    </row>
    <row r="225" s="5" customFormat="1">
      <c r="B225" s="77"/>
    </row>
    <row r="226" s="5" customFormat="1">
      <c r="B226" s="77"/>
    </row>
    <row r="227" s="5" customFormat="1">
      <c r="B227" s="77"/>
    </row>
    <row r="228" s="5" customFormat="1">
      <c r="B228" s="77"/>
    </row>
    <row r="229" s="5" customFormat="1">
      <c r="B229" s="77"/>
    </row>
    <row r="230" s="5" customFormat="1">
      <c r="B230" s="77"/>
    </row>
    <row r="231" s="5" customFormat="1">
      <c r="B231" s="77"/>
    </row>
    <row r="232" s="5" customFormat="1">
      <c r="B232" s="77"/>
    </row>
    <row r="233" s="5" customFormat="1">
      <c r="B233" s="77"/>
    </row>
    <row r="234" s="5" customFormat="1">
      <c r="B234" s="77"/>
    </row>
    <row r="235" s="5" customFormat="1">
      <c r="B235" s="77"/>
    </row>
    <row r="236" s="5" customFormat="1">
      <c r="B236" s="77"/>
    </row>
    <row r="237" s="5" customFormat="1">
      <c r="B237" s="77"/>
    </row>
  </sheetData>
  <mergeCells count="327">
    <mergeCell ref="E8:H8"/>
    <mergeCell ref="E9:H9"/>
    <mergeCell ref="E10:H10"/>
    <mergeCell ref="A10:A11"/>
    <mergeCell ref="B10:B11"/>
    <mergeCell ref="D10:D11"/>
    <mergeCell ref="C10:C11"/>
    <mergeCell ref="C12:C13"/>
    <mergeCell ref="E12:H12"/>
    <mergeCell ref="B12:B13"/>
    <mergeCell ref="A12:A13"/>
    <mergeCell ref="D12:D13"/>
    <mergeCell ref="D14:D15"/>
    <mergeCell ref="C14:C15"/>
    <mergeCell ref="E14:H14"/>
    <mergeCell ref="B14:B15"/>
    <mergeCell ref="D18:D19"/>
    <mergeCell ref="E18:H18"/>
    <mergeCell ref="A18:A19"/>
    <mergeCell ref="C18:C19"/>
    <mergeCell ref="B18:B19"/>
    <mergeCell ref="A14:A15"/>
    <mergeCell ref="D16:D17"/>
    <mergeCell ref="E16:H16"/>
    <mergeCell ref="B16:B17"/>
    <mergeCell ref="C16:C17"/>
    <mergeCell ref="A16:A17"/>
    <mergeCell ref="A20:A21"/>
    <mergeCell ref="D20:D21"/>
    <mergeCell ref="B20:B21"/>
    <mergeCell ref="E20:H20"/>
    <mergeCell ref="C20:C21"/>
    <mergeCell ref="E22:H22"/>
    <mergeCell ref="B22:B23"/>
    <mergeCell ref="C22:C23"/>
    <mergeCell ref="A22:A23"/>
    <mergeCell ref="D22:D23"/>
    <mergeCell ref="B24:B25"/>
    <mergeCell ref="C24:C25"/>
    <mergeCell ref="A24:A25"/>
    <mergeCell ref="D24:D25"/>
    <mergeCell ref="E24:H24"/>
    <mergeCell ref="C26:C27"/>
    <mergeCell ref="B26:B27"/>
    <mergeCell ref="A26:A27"/>
    <mergeCell ref="E26:H26"/>
    <mergeCell ref="D26:D27"/>
    <mergeCell ref="C28:C29"/>
    <mergeCell ref="E28:H28"/>
    <mergeCell ref="B28:B29"/>
    <mergeCell ref="A28:A29"/>
    <mergeCell ref="D28:D29"/>
    <mergeCell ref="D30:D31"/>
    <mergeCell ref="C30:C31"/>
    <mergeCell ref="B30:B31"/>
    <mergeCell ref="A30:A31"/>
    <mergeCell ref="E30:H30"/>
    <mergeCell ref="B32:B33"/>
    <mergeCell ref="E32:H32"/>
    <mergeCell ref="A32:A33"/>
    <mergeCell ref="D32:D33"/>
    <mergeCell ref="C32:C33"/>
    <mergeCell ref="D34:D35"/>
    <mergeCell ref="E34:H34"/>
    <mergeCell ref="A34:A35"/>
    <mergeCell ref="C34:C35"/>
    <mergeCell ref="B34:B35"/>
    <mergeCell ref="A36:A37"/>
    <mergeCell ref="B36:B37"/>
    <mergeCell ref="E36:H36"/>
    <mergeCell ref="D36:D37"/>
    <mergeCell ref="C36:C37"/>
    <mergeCell ref="B38:B39"/>
    <mergeCell ref="C38:C39"/>
    <mergeCell ref="D38:D39"/>
    <mergeCell ref="E38:H38"/>
    <mergeCell ref="A38:A39"/>
    <mergeCell ref="B40:B41"/>
    <mergeCell ref="D40:D41"/>
    <mergeCell ref="E40:H40"/>
    <mergeCell ref="C40:C41"/>
    <mergeCell ref="A40:A41"/>
    <mergeCell ref="D42:D43"/>
    <mergeCell ref="B42:B43"/>
    <mergeCell ref="C42:C43"/>
    <mergeCell ref="A42:A43"/>
    <mergeCell ref="E42:H42"/>
    <mergeCell ref="D44:D45"/>
    <mergeCell ref="B44:B45"/>
    <mergeCell ref="C44:C45"/>
    <mergeCell ref="A44:A45"/>
    <mergeCell ref="E44:H44"/>
    <mergeCell ref="C46:C47"/>
    <mergeCell ref="A46:A47"/>
    <mergeCell ref="B46:B47"/>
    <mergeCell ref="D46:D47"/>
    <mergeCell ref="E46:H46"/>
    <mergeCell ref="D48:D49"/>
    <mergeCell ref="A48:A49"/>
    <mergeCell ref="E48:H48"/>
    <mergeCell ref="C48:C49"/>
    <mergeCell ref="B48:B49"/>
    <mergeCell ref="B50:B51"/>
    <mergeCell ref="D50:D51"/>
    <mergeCell ref="C50:C51"/>
    <mergeCell ref="A50:A51"/>
    <mergeCell ref="E50:H50"/>
    <mergeCell ref="D52:D53"/>
    <mergeCell ref="B52:B53"/>
    <mergeCell ref="A52:A53"/>
    <mergeCell ref="E52:H52"/>
    <mergeCell ref="C52:C53"/>
    <mergeCell ref="D54:D55"/>
    <mergeCell ref="B54:B55"/>
    <mergeCell ref="E54:H54"/>
    <mergeCell ref="A54:A55"/>
    <mergeCell ref="C54:C55"/>
    <mergeCell ref="B56:B57"/>
    <mergeCell ref="A56:A57"/>
    <mergeCell ref="C56:C57"/>
    <mergeCell ref="E56:H56"/>
    <mergeCell ref="D56:D57"/>
    <mergeCell ref="B58:B59"/>
    <mergeCell ref="C58:C59"/>
    <mergeCell ref="A58:A59"/>
    <mergeCell ref="E58:H58"/>
    <mergeCell ref="D58:D59"/>
    <mergeCell ref="E60:H60"/>
    <mergeCell ref="D60:D61"/>
    <mergeCell ref="C60:C61"/>
    <mergeCell ref="B60:B61"/>
    <mergeCell ref="A60:A61"/>
    <mergeCell ref="C62:C63"/>
    <mergeCell ref="B62:B63"/>
    <mergeCell ref="D62:D63"/>
    <mergeCell ref="E62:H62"/>
    <mergeCell ref="A62:A63"/>
    <mergeCell ref="C64:C65"/>
    <mergeCell ref="D64:D65"/>
    <mergeCell ref="A64:A65"/>
    <mergeCell ref="B64:B65"/>
    <mergeCell ref="E64:H64"/>
    <mergeCell ref="B66:B67"/>
    <mergeCell ref="C66:C67"/>
    <mergeCell ref="D66:D67"/>
    <mergeCell ref="A66:A67"/>
    <mergeCell ref="E66:H66"/>
    <mergeCell ref="E68:H68"/>
    <mergeCell ref="A68:A69"/>
    <mergeCell ref="B68:B69"/>
    <mergeCell ref="D68:D69"/>
    <mergeCell ref="C68:C69"/>
    <mergeCell ref="D70:D71"/>
    <mergeCell ref="A70:A71"/>
    <mergeCell ref="C70:C71"/>
    <mergeCell ref="B70:B71"/>
    <mergeCell ref="E70:H70"/>
    <mergeCell ref="C72:C73"/>
    <mergeCell ref="B72:B73"/>
    <mergeCell ref="E72:H72"/>
    <mergeCell ref="D72:D73"/>
    <mergeCell ref="A72:A73"/>
    <mergeCell ref="E74:H74"/>
    <mergeCell ref="C74:C75"/>
    <mergeCell ref="D74:D75"/>
    <mergeCell ref="B74:B75"/>
    <mergeCell ref="A74:A75"/>
    <mergeCell ref="A76:A77"/>
    <mergeCell ref="D76:D77"/>
    <mergeCell ref="C76:C77"/>
    <mergeCell ref="E76:H76"/>
    <mergeCell ref="B76:B77"/>
    <mergeCell ref="B78:B79"/>
    <mergeCell ref="D78:D79"/>
    <mergeCell ref="A78:A79"/>
    <mergeCell ref="E78:H78"/>
    <mergeCell ref="C78:C79"/>
    <mergeCell ref="B80:B81"/>
    <mergeCell ref="E80:H80"/>
    <mergeCell ref="D80:D81"/>
    <mergeCell ref="C80:C81"/>
    <mergeCell ref="A80:A81"/>
    <mergeCell ref="D82:D83"/>
    <mergeCell ref="C82:C83"/>
    <mergeCell ref="E82:H82"/>
    <mergeCell ref="B82:B83"/>
    <mergeCell ref="A82:A83"/>
    <mergeCell ref="D84:D85"/>
    <mergeCell ref="E84:H84"/>
    <mergeCell ref="B84:B85"/>
    <mergeCell ref="A84:A85"/>
    <mergeCell ref="C84:C85"/>
    <mergeCell ref="D86:D87"/>
    <mergeCell ref="B86:B87"/>
    <mergeCell ref="C86:C87"/>
    <mergeCell ref="E86:H86"/>
    <mergeCell ref="A86:A87"/>
    <mergeCell ref="D88:D89"/>
    <mergeCell ref="C88:C89"/>
    <mergeCell ref="A88:A89"/>
    <mergeCell ref="E88:H88"/>
    <mergeCell ref="B88:B89"/>
    <mergeCell ref="D90:D91"/>
    <mergeCell ref="A90:A91"/>
    <mergeCell ref="B90:B91"/>
    <mergeCell ref="E90:H90"/>
    <mergeCell ref="C90:C91"/>
    <mergeCell ref="D92:D93"/>
    <mergeCell ref="E92:H92"/>
    <mergeCell ref="B92:B93"/>
    <mergeCell ref="A92:A93"/>
    <mergeCell ref="C92:C93"/>
    <mergeCell ref="A94:A95"/>
    <mergeCell ref="D94:D95"/>
    <mergeCell ref="B94:B95"/>
    <mergeCell ref="E94:H94"/>
    <mergeCell ref="C94:C95"/>
    <mergeCell ref="B96:B97"/>
    <mergeCell ref="D96:D97"/>
    <mergeCell ref="A96:A97"/>
    <mergeCell ref="C96:C97"/>
    <mergeCell ref="E96:H96"/>
    <mergeCell ref="C98:C99"/>
    <mergeCell ref="D98:D99"/>
    <mergeCell ref="B98:B99"/>
    <mergeCell ref="A98:A99"/>
    <mergeCell ref="E98:H98"/>
    <mergeCell ref="B100:B101"/>
    <mergeCell ref="A100:A101"/>
    <mergeCell ref="D100:D101"/>
    <mergeCell ref="C100:C101"/>
    <mergeCell ref="E100:H100"/>
    <mergeCell ref="B102:B103"/>
    <mergeCell ref="A102:A103"/>
    <mergeCell ref="D102:D103"/>
    <mergeCell ref="E102:H102"/>
    <mergeCell ref="C102:C103"/>
    <mergeCell ref="B104:B105"/>
    <mergeCell ref="D104:D105"/>
    <mergeCell ref="A104:A105"/>
    <mergeCell ref="E104:H104"/>
    <mergeCell ref="C104:C105"/>
    <mergeCell ref="D106:D107"/>
    <mergeCell ref="A106:A107"/>
    <mergeCell ref="E106:H106"/>
    <mergeCell ref="C106:C107"/>
    <mergeCell ref="B106:B107"/>
    <mergeCell ref="D108:D109"/>
    <mergeCell ref="E108:H108"/>
    <mergeCell ref="A108:A109"/>
    <mergeCell ref="C108:C109"/>
    <mergeCell ref="B108:B109"/>
    <mergeCell ref="D110:D111"/>
    <mergeCell ref="A110:A111"/>
    <mergeCell ref="E110:H110"/>
    <mergeCell ref="B110:B111"/>
    <mergeCell ref="C110:C111"/>
    <mergeCell ref="D112:D113"/>
    <mergeCell ref="B112:B113"/>
    <mergeCell ref="A112:A113"/>
    <mergeCell ref="E112:H112"/>
    <mergeCell ref="C112:C113"/>
    <mergeCell ref="B114:B115"/>
    <mergeCell ref="D114:D115"/>
    <mergeCell ref="C114:C115"/>
    <mergeCell ref="E114:H114"/>
    <mergeCell ref="A114:A115"/>
    <mergeCell ref="E116:H116"/>
    <mergeCell ref="B116:B117"/>
    <mergeCell ref="D116:D117"/>
    <mergeCell ref="C116:C117"/>
    <mergeCell ref="A116:A117"/>
    <mergeCell ref="A118:A119"/>
    <mergeCell ref="B118:B119"/>
    <mergeCell ref="E118:H118"/>
    <mergeCell ref="D118:D119"/>
    <mergeCell ref="C118:C119"/>
    <mergeCell ref="A120:A121"/>
    <mergeCell ref="B120:B121"/>
    <mergeCell ref="C120:C121"/>
    <mergeCell ref="E120:H120"/>
    <mergeCell ref="D120:D121"/>
    <mergeCell ref="E122:H122"/>
    <mergeCell ref="A122:A123"/>
    <mergeCell ref="D122:D123"/>
    <mergeCell ref="B122:B123"/>
    <mergeCell ref="C122:C123"/>
    <mergeCell ref="A124:A125"/>
    <mergeCell ref="D124:D125"/>
    <mergeCell ref="C124:C125"/>
    <mergeCell ref="E124:H124"/>
    <mergeCell ref="B124:B125"/>
    <mergeCell ref="A126:A127"/>
    <mergeCell ref="E126:H126"/>
    <mergeCell ref="C126:C127"/>
    <mergeCell ref="B126:B127"/>
    <mergeCell ref="D126:D127"/>
    <mergeCell ref="E128:H128"/>
    <mergeCell ref="D128:D129"/>
    <mergeCell ref="A128:A129"/>
    <mergeCell ref="B128:B129"/>
    <mergeCell ref="C128:C129"/>
    <mergeCell ref="C130:C131"/>
    <mergeCell ref="B130:B131"/>
    <mergeCell ref="E130:H130"/>
    <mergeCell ref="D130:D131"/>
    <mergeCell ref="A130:A131"/>
    <mergeCell ref="E132:H132"/>
    <mergeCell ref="C132:C133"/>
    <mergeCell ref="B132:B133"/>
    <mergeCell ref="A132:A133"/>
    <mergeCell ref="D132:D133"/>
    <mergeCell ref="D134:D135"/>
    <mergeCell ref="B134:B135"/>
    <mergeCell ref="E134:H134"/>
    <mergeCell ref="C134:C135"/>
    <mergeCell ref="A134:A135"/>
    <mergeCell ref="C136:C137"/>
    <mergeCell ref="E136:H136"/>
    <mergeCell ref="D136:D137"/>
    <mergeCell ref="B136:B137"/>
    <mergeCell ref="A136:A137"/>
    <mergeCell ref="B138:B139"/>
    <mergeCell ref="A138:A139"/>
    <mergeCell ref="E138:H138"/>
    <mergeCell ref="C138:C139"/>
    <mergeCell ref="D138:D139"/>
  </mergeCells>
  <conditionalFormatting sqref="F127:H127 F129:H129 F131:H131 F133:H133 F135:H135 F137:H137 F139:H139">
    <cfRule priority="1" dxfId="0" type="cellIs" operator="equal">
      <formula>1</formula>
    </cfRule>
  </conditionalFormatting>
  <conditionalFormatting sqref="I14:L139">
    <cfRule priority="4" dxfId="0" type="cellIs" operator="equal">
      <formula>1</formula>
    </cfRule>
  </conditionalFormatting>
  <conditionalFormatting sqref="F109:H109 F111:H111 F113:H113 F115:H115 F117:H117 F119:H119 F121:H121 F123:H123 F125:H125">
    <cfRule priority="7" dxfId="0" type="cellIs" operator="equal">
      <formula>1</formula>
    </cfRule>
  </conditionalFormatting>
  <conditionalFormatting sqref="F95:H95 F97:H97 F99:H99 F101:H101 F103:H103 F105:H105 F107:H107">
    <cfRule priority="9" dxfId="0" type="cellIs" operator="equal">
      <formula>1</formula>
    </cfRule>
  </conditionalFormatting>
  <conditionalFormatting sqref="F17:H17 F19:H19 F21:H21 F23:H23 F25:H25 F27:H27 F29:H29 F31:H31 F33:H33 F35:H35 F37:H37 F39:H39 F41:H41 F43:H43 F45:H45 F47:H47 F49:H49 F51:H51 F53:H53 F55:H55 F57:H57 F59:H59 F61:H61 F63:H63 F65:H65 F67:H67 F69:H69 F71:H71 F73:H73 F75:H75 F77:H77 F79:H79 F81:H81 F83:H83 F85:H85 F87:H87 F89:H89 F91:H91 F93:H93">
    <cfRule priority="13" dxfId="0" type="cellIs" operator="equal">
      <formula>1</formula>
    </cfRule>
  </conditionalFormatting>
  <conditionalFormatting sqref="F15:H15">
    <cfRule priority="17" dxfId="0" type="cellIs" operator="equal">
      <formula>1</formula>
    </cfRule>
  </conditionalFormatting>
  <conditionalFormatting sqref="F13:H13">
    <cfRule priority="18" dxfId="0" type="cellIs" operator="equal">
      <formula>1</formula>
    </cfRule>
  </conditionalFormatting>
  <conditionalFormatting sqref="I10:L11">
    <cfRule priority="21" dxfId="0" type="cellIs" operator="equal">
      <formula>1</formula>
    </cfRule>
  </conditionalFormatting>
  <pageSetup r:id="rId1" orientation="portrait" scale="48"/>
  <rowBreaks count="1" manualBreakCount="1">
    <brk id="155" man="1"/>
  </rowBreaks>
  <drawing r:id="rId2"/>
</worksheet>
</file>

<file path=xl/worksheets/sheet3.xml><?xml version="1.0" encoding="utf-8"?>
<worksheet xmlns:r="http://schemas.openxmlformats.org/officeDocument/2006/relationships" xmlns="http://schemas.openxmlformats.org/spreadsheetml/2006/main">
  <sheetPr codeName="Hoja3"/>
  <sheetViews>
    <sheetView view="pageBreakPreview" showGridLines="0" zoomScale="75" zoomScaleNormal="100" zoomScaleSheetLayoutView="100" workbookViewId="0" topLeftCell="A175">
      <selection activeCell="C106" sqref="C106:C107"/>
    </sheetView>
  </sheetViews>
  <sheetFormatPr baseColWidth="10" defaultColWidth="11.46094" defaultRowHeight="14.6"/>
  <cols>
    <col min="1" max="1" width="9.691406" style="5" customWidth="1"/>
    <col min="2" max="2" width="14.30469" style="77" customWidth="1"/>
    <col min="3" max="3" width="90.69141" style="5" customWidth="1"/>
    <col min="4" max="4" width="34.07422" style="5" customWidth="1"/>
    <col min="5" max="8" width="9.535156" style="78" customWidth="1"/>
    <col min="9" max="9" width="8.691406" style="5" customWidth="1"/>
    <col min="10" max="10" width="11.46094" style="98"/>
    <col min="11" max="16384" width="11.46094" style="78"/>
  </cols>
  <sheetData>
    <row r="1" s="5" customFormat="1">
      <c r="B1" s="77"/>
      <c r="J1" s="77"/>
    </row>
    <row r="2" s="5" customFormat="1">
      <c r="B2" s="77"/>
      <c r="J2" s="77"/>
    </row>
    <row r="3" s="5" customFormat="1">
      <c r="B3" s="77"/>
      <c r="J3" s="77"/>
    </row>
    <row r="4" s="5" customFormat="1">
      <c r="B4" s="77"/>
      <c r="J4" s="77"/>
    </row>
    <row r="5" s="5" customFormat="1">
      <c r="B5" s="77"/>
      <c r="J5" s="77"/>
    </row>
    <row r="6" s="5" customFormat="1">
      <c r="B6" s="77"/>
      <c r="J6" s="77"/>
    </row>
    <row r="7" s="5" customFormat="1">
      <c r="B7" s="77"/>
      <c r="J7" s="77"/>
    </row>
    <row r="8" s="5" customFormat="1" ht="15.9">
      <c r="B8" s="77"/>
      <c r="E8" s="80" t="s">
        <v>52</v>
      </c>
      <c r="F8" s="80"/>
      <c r="G8" s="80"/>
      <c r="H8" s="80"/>
      <c r="J8" s="77"/>
    </row>
    <row r="9" ht="28.5" customHeight="1">
      <c r="A9" s="81" t="s">
        <v>47</v>
      </c>
      <c r="B9" s="81" t="s">
        <v>48</v>
      </c>
      <c r="C9" s="81" t="s">
        <v>49</v>
      </c>
      <c r="D9" s="81" t="s">
        <v>50</v>
      </c>
      <c r="E9" s="82" t="s">
        <v>51</v>
      </c>
      <c r="F9" s="82"/>
      <c r="G9" s="82"/>
      <c r="H9" s="82"/>
    </row>
    <row r="10" hidden="1" ht="15" customHeight="1">
      <c r="A10" s="83">
        <v>1</v>
      </c>
      <c r="B10" s="84" t="e" cm="1">
        <f t="array" ref="B10">INDEX('[10]Maintenance Plan'!$C$7:$K$568,A10,1)</f>
        <v>#REF!</v>
      </c>
      <c r="C10" s="85" t="e" cm="1">
        <f t="array" ref="C10">INDEX('[10]Maintenance Plan'!$C$7:$K$568,A10,3)</f>
        <v>#REF!</v>
      </c>
      <c r="D10" s="86" t="s">
        <v>6</v>
      </c>
      <c r="E10" s="87" t="e">
        <f>#REF!</f>
        <v>#REF!</v>
      </c>
      <c r="F10" s="88"/>
      <c r="G10" s="88"/>
      <c r="H10" s="89"/>
    </row>
    <row r="11" hidden="1" ht="15" customHeight="1">
      <c r="A11" s="90"/>
      <c r="B11" s="91"/>
      <c r="C11" s="92"/>
      <c r="D11" s="93"/>
      <c r="E11" s="94">
        <f>$J$2</f>
        <v>0</v>
      </c>
      <c r="F11" s="95"/>
      <c r="G11" s="96"/>
      <c r="H11" s="97"/>
    </row>
    <row r="12" hidden="1" ht="15" customHeight="1">
      <c r="A12" s="83">
        <v>2</v>
      </c>
      <c r="B12" s="84" t="e" cm="1">
        <f t="array" ref="B12">INDEX('[10]Maintenance Plan'!$C$7:$K$568,A12,1)</f>
        <v>#REF!</v>
      </c>
      <c r="C12" s="85" t="e" cm="1">
        <f t="array" ref="C12">INDEX('[10]Maintenance Plan'!$C$7:$K$568,A12,3)</f>
        <v>#REF!</v>
      </c>
      <c r="D12" s="86" t="s">
        <v>6</v>
      </c>
      <c r="E12" s="87" t="e">
        <f>#REF!</f>
        <v>#REF!</v>
      </c>
      <c r="F12" s="88"/>
      <c r="G12" s="88"/>
      <c r="H12" s="89"/>
    </row>
    <row r="13" hidden="1" ht="15" customHeight="1">
      <c r="A13" s="90"/>
      <c r="B13" s="91"/>
      <c r="C13" s="92"/>
      <c r="D13" s="93"/>
      <c r="E13" s="94">
        <f>$J$2</f>
        <v>0</v>
      </c>
      <c r="F13" s="95"/>
      <c r="G13" s="96"/>
      <c r="H13" s="97"/>
    </row>
    <row r="14" hidden="1" ht="15" customHeight="1">
      <c r="A14" s="83">
        <v>3</v>
      </c>
      <c r="B14" s="84" t="e" cm="1">
        <f t="array" ref="B14">INDEX('[10]Maintenance Plan'!$C$7:$K$568,A14,1)</f>
        <v>#REF!</v>
      </c>
      <c r="C14" s="85" t="e" cm="1">
        <f t="array" ref="C14">INDEX('[10]Maintenance Plan'!$C$7:$K$568,A14,3)</f>
        <v>#REF!</v>
      </c>
      <c r="D14" s="86" t="s">
        <v>6</v>
      </c>
      <c r="E14" s="87" t="e">
        <f>#REF!</f>
        <v>#REF!</v>
      </c>
      <c r="F14" s="88"/>
      <c r="G14" s="88"/>
      <c r="H14" s="89"/>
    </row>
    <row r="15" hidden="1" ht="15" customHeight="1">
      <c r="A15" s="90"/>
      <c r="B15" s="91"/>
      <c r="C15" s="92"/>
      <c r="D15" s="93"/>
      <c r="E15" s="94">
        <f>$J$2</f>
        <v>0</v>
      </c>
      <c r="F15" s="95"/>
      <c r="G15" s="96"/>
      <c r="H15" s="97"/>
    </row>
    <row r="16" hidden="1" ht="15" customHeight="1">
      <c r="A16" s="83">
        <v>4</v>
      </c>
      <c r="B16" s="84" t="e" cm="1">
        <f t="array" ref="B16">INDEX('[10]Maintenance Plan'!$C$7:$K$568,A16,1)</f>
        <v>#REF!</v>
      </c>
      <c r="C16" s="85" t="e" cm="1">
        <f t="array" ref="C16">INDEX('[10]Maintenance Plan'!$C$7:$K$568,A16,3)</f>
        <v>#REF!</v>
      </c>
      <c r="D16" s="86" t="s">
        <v>6</v>
      </c>
      <c r="E16" s="87" t="e">
        <f>#REF!</f>
        <v>#REF!</v>
      </c>
      <c r="F16" s="88"/>
      <c r="G16" s="88"/>
      <c r="H16" s="89"/>
    </row>
    <row r="17" hidden="1" ht="15" customHeight="1">
      <c r="A17" s="90"/>
      <c r="B17" s="91"/>
      <c r="C17" s="92"/>
      <c r="D17" s="93"/>
      <c r="E17" s="94">
        <f>$J$2</f>
        <v>0</v>
      </c>
      <c r="F17" s="95"/>
      <c r="G17" s="96"/>
      <c r="H17" s="97"/>
    </row>
    <row r="18" hidden="1" ht="15" customHeight="1">
      <c r="A18" s="83">
        <v>5</v>
      </c>
      <c r="B18" s="84" t="e" cm="1">
        <f t="array" ref="B18">INDEX('[10]Maintenance Plan'!$C$7:$K$568,A18,1)</f>
        <v>#REF!</v>
      </c>
      <c r="C18" s="85" t="e" cm="1">
        <f t="array" ref="C18">INDEX('[10]Maintenance Plan'!$C$7:$K$568,A18,3)</f>
        <v>#REF!</v>
      </c>
      <c r="D18" s="86" t="s">
        <v>6</v>
      </c>
      <c r="E18" s="87" t="e">
        <f>#REF!</f>
        <v>#REF!</v>
      </c>
      <c r="F18" s="88"/>
      <c r="G18" s="88"/>
      <c r="H18" s="89"/>
    </row>
    <row r="19" hidden="1" ht="15" customHeight="1">
      <c r="A19" s="90"/>
      <c r="B19" s="91"/>
      <c r="C19" s="92"/>
      <c r="D19" s="93"/>
      <c r="E19" s="94">
        <f>$J$2</f>
        <v>0</v>
      </c>
      <c r="F19" s="95"/>
      <c r="G19" s="96"/>
      <c r="H19" s="97"/>
    </row>
    <row r="20" hidden="1" ht="15" customHeight="1">
      <c r="A20" s="83">
        <v>6</v>
      </c>
      <c r="B20" s="84" t="e" cm="1">
        <f t="array" ref="B20">INDEX('[10]Maintenance Plan'!$C$7:$K$568,A20,1)</f>
        <v>#REF!</v>
      </c>
      <c r="C20" s="85" t="e" cm="1">
        <f t="array" ref="C20">INDEX('[10]Maintenance Plan'!$C$7:$K$568,A20,3)</f>
        <v>#REF!</v>
      </c>
      <c r="D20" s="86" t="s">
        <v>6</v>
      </c>
      <c r="E20" s="87" t="e">
        <f>#REF!</f>
        <v>#REF!</v>
      </c>
      <c r="F20" s="88"/>
      <c r="G20" s="88"/>
      <c r="H20" s="89"/>
    </row>
    <row r="21" hidden="1" ht="15" customHeight="1">
      <c r="A21" s="90"/>
      <c r="B21" s="91"/>
      <c r="C21" s="92"/>
      <c r="D21" s="93"/>
      <c r="E21" s="94">
        <f>$J$2</f>
        <v>0</v>
      </c>
      <c r="F21" s="95"/>
      <c r="G21" s="96"/>
      <c r="H21" s="97"/>
    </row>
    <row r="22" hidden="1" ht="15" customHeight="1">
      <c r="A22" s="83">
        <v>7</v>
      </c>
      <c r="B22" s="84" t="e" cm="1">
        <f t="array" ref="B22">INDEX('[10]Maintenance Plan'!$C$7:$K$568,A22,1)</f>
        <v>#REF!</v>
      </c>
      <c r="C22" s="85" t="e" cm="1">
        <f t="array" ref="C22">INDEX('[10]Maintenance Plan'!$C$7:$K$568,A22,3)</f>
        <v>#REF!</v>
      </c>
      <c r="D22" s="86" t="s">
        <v>6</v>
      </c>
      <c r="E22" s="87" t="e">
        <f>#REF!</f>
        <v>#REF!</v>
      </c>
      <c r="F22" s="88"/>
      <c r="G22" s="88"/>
      <c r="H22" s="89"/>
    </row>
    <row r="23" hidden="1" ht="15" customHeight="1">
      <c r="A23" s="90"/>
      <c r="B23" s="91"/>
      <c r="C23" s="92"/>
      <c r="D23" s="93"/>
      <c r="E23" s="94">
        <f>$J$2</f>
        <v>0</v>
      </c>
      <c r="F23" s="95"/>
      <c r="G23" s="96"/>
      <c r="H23" s="97"/>
    </row>
    <row r="24" hidden="1" ht="15" customHeight="1">
      <c r="A24" s="83">
        <v>8</v>
      </c>
      <c r="B24" s="84" t="e" cm="1">
        <f t="array" ref="B24">INDEX('[10]Maintenance Plan'!$C$7:$K$568,A24,1)</f>
        <v>#REF!</v>
      </c>
      <c r="C24" s="85" t="e" cm="1">
        <f t="array" ref="C24">INDEX('[10]Maintenance Plan'!$C$7:$K$568,A24,3)</f>
        <v>#REF!</v>
      </c>
      <c r="D24" s="86" t="s">
        <v>6</v>
      </c>
      <c r="E24" s="87" t="e">
        <f>#REF!</f>
        <v>#REF!</v>
      </c>
      <c r="F24" s="88"/>
      <c r="G24" s="88"/>
      <c r="H24" s="89"/>
    </row>
    <row r="25" hidden="1" ht="15" customHeight="1">
      <c r="A25" s="90"/>
      <c r="B25" s="91"/>
      <c r="C25" s="92"/>
      <c r="D25" s="93"/>
      <c r="E25" s="94">
        <f>$J$2</f>
        <v>0</v>
      </c>
      <c r="F25" s="95"/>
      <c r="G25" s="96"/>
      <c r="H25" s="97"/>
    </row>
    <row r="26" hidden="1" ht="15" customHeight="1">
      <c r="A26" s="83">
        <v>9</v>
      </c>
      <c r="B26" s="84" t="e" cm="1">
        <f t="array" ref="B26">INDEX('[10]Maintenance Plan'!$C$7:$K$568,A26,1)</f>
        <v>#REF!</v>
      </c>
      <c r="C26" s="85" t="e" cm="1">
        <f t="array" ref="C26">INDEX('[10]Maintenance Plan'!$C$7:$K$568,A26,3)</f>
        <v>#REF!</v>
      </c>
      <c r="D26" s="86" t="s">
        <v>6</v>
      </c>
      <c r="E26" s="87" t="e">
        <f>#REF!</f>
        <v>#REF!</v>
      </c>
      <c r="F26" s="88"/>
      <c r="G26" s="88"/>
      <c r="H26" s="89"/>
    </row>
    <row r="27" hidden="1" ht="15" customHeight="1">
      <c r="A27" s="90"/>
      <c r="B27" s="91"/>
      <c r="C27" s="92"/>
      <c r="D27" s="93"/>
      <c r="E27" s="94">
        <f>$J$2</f>
        <v>0</v>
      </c>
      <c r="F27" s="95"/>
      <c r="G27" s="96"/>
      <c r="H27" s="97"/>
    </row>
    <row r="28" hidden="1" ht="15" customHeight="1">
      <c r="A28" s="83">
        <v>10</v>
      </c>
      <c r="B28" s="84" t="e" cm="1">
        <f t="array" ref="B28">INDEX('[10]Maintenance Plan'!$C$7:$K$568,A28,1)</f>
        <v>#REF!</v>
      </c>
      <c r="C28" s="85" t="e" cm="1">
        <f t="array" ref="C28">INDEX('[10]Maintenance Plan'!$C$7:$K$568,A28,3)</f>
        <v>#REF!</v>
      </c>
      <c r="D28" s="86" t="s">
        <v>6</v>
      </c>
      <c r="E28" s="87" t="e">
        <f>#REF!</f>
        <v>#REF!</v>
      </c>
      <c r="F28" s="88"/>
      <c r="G28" s="88"/>
      <c r="H28" s="89"/>
    </row>
    <row r="29" hidden="1" ht="15" customHeight="1">
      <c r="A29" s="90"/>
      <c r="B29" s="91"/>
      <c r="C29" s="92"/>
      <c r="D29" s="93"/>
      <c r="E29" s="94">
        <f>$J$2</f>
        <v>0</v>
      </c>
      <c r="F29" s="95"/>
      <c r="G29" s="96"/>
      <c r="H29" s="97"/>
    </row>
    <row r="30" hidden="1" ht="15" customHeight="1">
      <c r="A30" s="83">
        <v>11</v>
      </c>
      <c r="B30" s="84" t="e" cm="1">
        <f t="array" ref="B30">INDEX('[10]Maintenance Plan'!$C$7:$K$568,A30,1)</f>
        <v>#REF!</v>
      </c>
      <c r="C30" s="85" t="e" cm="1">
        <f t="array" ref="C30">INDEX('[10]Maintenance Plan'!$C$7:$K$568,A30,3)</f>
        <v>#REF!</v>
      </c>
      <c r="D30" s="86" t="s">
        <v>6</v>
      </c>
      <c r="E30" s="87" t="e">
        <f>#REF!</f>
        <v>#REF!</v>
      </c>
      <c r="F30" s="88"/>
      <c r="G30" s="88"/>
      <c r="H30" s="89"/>
    </row>
    <row r="31" hidden="1" ht="15" customHeight="1">
      <c r="A31" s="90"/>
      <c r="B31" s="91"/>
      <c r="C31" s="92"/>
      <c r="D31" s="93"/>
      <c r="E31" s="94">
        <f>$J$2</f>
        <v>0</v>
      </c>
      <c r="F31" s="95"/>
      <c r="G31" s="96"/>
      <c r="H31" s="97"/>
    </row>
    <row r="32" hidden="1" ht="15" customHeight="1">
      <c r="A32" s="83">
        <v>12</v>
      </c>
      <c r="B32" s="84" t="e" cm="1">
        <f t="array" ref="B32">INDEX('[10]Maintenance Plan'!$C$7:$K$568,A32,1)</f>
        <v>#REF!</v>
      </c>
      <c r="C32" s="85" t="e" cm="1">
        <f t="array" ref="C32">INDEX('[10]Maintenance Plan'!$C$7:$K$568,A32,3)</f>
        <v>#REF!</v>
      </c>
      <c r="D32" s="86" t="s">
        <v>6</v>
      </c>
      <c r="E32" s="87" t="e">
        <f>#REF!</f>
        <v>#REF!</v>
      </c>
      <c r="F32" s="88"/>
      <c r="G32" s="88"/>
      <c r="H32" s="89"/>
    </row>
    <row r="33" hidden="1" ht="15" customHeight="1">
      <c r="A33" s="90"/>
      <c r="B33" s="91"/>
      <c r="C33" s="92"/>
      <c r="D33" s="93"/>
      <c r="E33" s="94">
        <f>$J$2</f>
        <v>0</v>
      </c>
      <c r="F33" s="95"/>
      <c r="G33" s="96"/>
      <c r="H33" s="97"/>
    </row>
    <row r="34" hidden="1" ht="15" customHeight="1">
      <c r="A34" s="83">
        <v>13</v>
      </c>
      <c r="B34" s="84" t="e" cm="1">
        <f t="array" ref="B34">INDEX('[10]Maintenance Plan'!$C$7:$K$568,A34,1)</f>
        <v>#REF!</v>
      </c>
      <c r="C34" s="85" t="e" cm="1">
        <f t="array" ref="C34">INDEX('[10]Maintenance Plan'!$C$7:$K$568,A34,3)</f>
        <v>#REF!</v>
      </c>
      <c r="D34" s="86" t="s">
        <v>6</v>
      </c>
      <c r="E34" s="87" t="e">
        <f>#REF!</f>
        <v>#REF!</v>
      </c>
      <c r="F34" s="88"/>
      <c r="G34" s="88"/>
      <c r="H34" s="89"/>
    </row>
    <row r="35" hidden="1" ht="15" customHeight="1">
      <c r="A35" s="90"/>
      <c r="B35" s="91"/>
      <c r="C35" s="92"/>
      <c r="D35" s="93"/>
      <c r="E35" s="94">
        <f>$J$2</f>
        <v>0</v>
      </c>
      <c r="F35" s="95"/>
      <c r="G35" s="96"/>
      <c r="H35" s="97"/>
    </row>
    <row r="36" hidden="1" ht="15" customHeight="1">
      <c r="A36" s="83">
        <v>14</v>
      </c>
      <c r="B36" s="84" t="e" cm="1">
        <f t="array" ref="B36">INDEX('[10]Maintenance Plan'!$C$7:$K$568,A36,1)</f>
        <v>#REF!</v>
      </c>
      <c r="C36" s="85" t="e" cm="1">
        <f t="array" ref="C36">INDEX('[10]Maintenance Plan'!$C$7:$K$568,A36,3)</f>
        <v>#REF!</v>
      </c>
      <c r="D36" s="86" t="s">
        <v>6</v>
      </c>
      <c r="E36" s="87" t="e">
        <f>#REF!</f>
        <v>#REF!</v>
      </c>
      <c r="F36" s="88"/>
      <c r="G36" s="88"/>
      <c r="H36" s="89"/>
    </row>
    <row r="37" hidden="1" ht="15" customHeight="1">
      <c r="A37" s="90"/>
      <c r="B37" s="91"/>
      <c r="C37" s="92"/>
      <c r="D37" s="93"/>
      <c r="E37" s="94">
        <f>$J$2</f>
        <v>0</v>
      </c>
      <c r="F37" s="95"/>
      <c r="G37" s="96"/>
      <c r="H37" s="97"/>
    </row>
    <row r="38" hidden="1" ht="15" customHeight="1">
      <c r="A38" s="83">
        <v>15</v>
      </c>
      <c r="B38" s="84" t="e" cm="1">
        <f t="array" ref="B38">INDEX('[10]Maintenance Plan'!$C$7:$K$568,A38,1)</f>
        <v>#REF!</v>
      </c>
      <c r="C38" s="85" t="e" cm="1">
        <f t="array" ref="C38">INDEX('[10]Maintenance Plan'!$C$7:$K$568,A38,3)</f>
        <v>#REF!</v>
      </c>
      <c r="D38" s="86" t="s">
        <v>6</v>
      </c>
      <c r="E38" s="87" t="e">
        <f>#REF!</f>
        <v>#REF!</v>
      </c>
      <c r="F38" s="88"/>
      <c r="G38" s="88"/>
      <c r="H38" s="89"/>
    </row>
    <row r="39" hidden="1" ht="15" customHeight="1">
      <c r="A39" s="90"/>
      <c r="B39" s="91"/>
      <c r="C39" s="92"/>
      <c r="D39" s="93"/>
      <c r="E39" s="94">
        <f>$J$2</f>
        <v>0</v>
      </c>
      <c r="F39" s="95"/>
      <c r="G39" s="96"/>
      <c r="H39" s="97"/>
    </row>
    <row r="40" hidden="1" ht="15" customHeight="1">
      <c r="A40" s="83">
        <v>16</v>
      </c>
      <c r="B40" s="84" t="e" cm="1">
        <f t="array" ref="B40">INDEX('[10]Maintenance Plan'!$C$7:$K$568,A40,1)</f>
        <v>#REF!</v>
      </c>
      <c r="C40" s="85" t="e" cm="1">
        <f t="array" ref="C40">INDEX('[10]Maintenance Plan'!$C$7:$K$568,A40,3)</f>
        <v>#REF!</v>
      </c>
      <c r="D40" s="86" t="s">
        <v>6</v>
      </c>
      <c r="E40" s="87" t="e">
        <f>#REF!</f>
        <v>#REF!</v>
      </c>
      <c r="F40" s="88"/>
      <c r="G40" s="88"/>
      <c r="H40" s="89"/>
    </row>
    <row r="41" hidden="1" ht="15" customHeight="1">
      <c r="A41" s="90"/>
      <c r="B41" s="91"/>
      <c r="C41" s="92"/>
      <c r="D41" s="93"/>
      <c r="E41" s="94">
        <f>$J$2</f>
        <v>0</v>
      </c>
      <c r="F41" s="95"/>
      <c r="G41" s="96"/>
      <c r="H41" s="97"/>
    </row>
    <row r="42" hidden="1" ht="15" customHeight="1">
      <c r="A42" s="83">
        <v>17</v>
      </c>
      <c r="B42" s="84" t="e" cm="1">
        <f t="array" ref="B42">INDEX('[10]Maintenance Plan'!$C$7:$K$568,A42,1)</f>
        <v>#REF!</v>
      </c>
      <c r="C42" s="85" t="e" cm="1">
        <f t="array" ref="C42">INDEX('[10]Maintenance Plan'!$C$7:$K$568,A42,3)</f>
        <v>#REF!</v>
      </c>
      <c r="D42" s="86" t="s">
        <v>6</v>
      </c>
      <c r="E42" s="87" t="e">
        <f>#REF!</f>
        <v>#REF!</v>
      </c>
      <c r="F42" s="88"/>
      <c r="G42" s="88"/>
      <c r="H42" s="89"/>
    </row>
    <row r="43" hidden="1" ht="15" customHeight="1">
      <c r="A43" s="90"/>
      <c r="B43" s="91"/>
      <c r="C43" s="92"/>
      <c r="D43" s="93"/>
      <c r="E43" s="94">
        <f>$J$2</f>
        <v>0</v>
      </c>
      <c r="F43" s="95"/>
      <c r="G43" s="96"/>
      <c r="H43" s="97"/>
    </row>
    <row r="44" hidden="1" ht="15" customHeight="1">
      <c r="A44" s="83">
        <v>18</v>
      </c>
      <c r="B44" s="84" t="e" cm="1">
        <f t="array" ref="B44">INDEX('[10]Maintenance Plan'!$C$7:$K$568,A44,1)</f>
        <v>#REF!</v>
      </c>
      <c r="C44" s="85" t="e" cm="1">
        <f t="array" ref="C44">INDEX('[10]Maintenance Plan'!$C$7:$K$568,A44,3)</f>
        <v>#REF!</v>
      </c>
      <c r="D44" s="86" t="s">
        <v>6</v>
      </c>
      <c r="E44" s="87" t="e">
        <f>#REF!</f>
        <v>#REF!</v>
      </c>
      <c r="F44" s="88"/>
      <c r="G44" s="88"/>
      <c r="H44" s="89"/>
    </row>
    <row r="45" hidden="1" ht="15" customHeight="1">
      <c r="A45" s="90"/>
      <c r="B45" s="91"/>
      <c r="C45" s="92"/>
      <c r="D45" s="93"/>
      <c r="E45" s="94">
        <f>$J$2</f>
        <v>0</v>
      </c>
      <c r="F45" s="95"/>
      <c r="G45" s="96"/>
      <c r="H45" s="97"/>
    </row>
    <row r="46" hidden="1" ht="15" customHeight="1">
      <c r="A46" s="83">
        <v>19</v>
      </c>
      <c r="B46" s="84" t="e" cm="1">
        <f t="array" ref="B46">INDEX('[10]Maintenance Plan'!$C$7:$K$568,A46,1)</f>
        <v>#REF!</v>
      </c>
      <c r="C46" s="85" t="e" cm="1">
        <f t="array" ref="C46">INDEX('[10]Maintenance Plan'!$C$7:$K$568,A46,3)</f>
        <v>#REF!</v>
      </c>
      <c r="D46" s="86" t="s">
        <v>6</v>
      </c>
      <c r="E46" s="87" t="e">
        <f>#REF!</f>
        <v>#REF!</v>
      </c>
      <c r="F46" s="88"/>
      <c r="G46" s="88"/>
      <c r="H46" s="89"/>
    </row>
    <row r="47" hidden="1" ht="15" customHeight="1">
      <c r="A47" s="90"/>
      <c r="B47" s="91"/>
      <c r="C47" s="92"/>
      <c r="D47" s="93"/>
      <c r="E47" s="94">
        <f>$J$2</f>
        <v>0</v>
      </c>
      <c r="F47" s="95"/>
      <c r="G47" s="96"/>
      <c r="H47" s="97"/>
    </row>
    <row r="48" hidden="1" ht="15" customHeight="1">
      <c r="A48" s="83">
        <v>20</v>
      </c>
      <c r="B48" s="84" t="e" cm="1">
        <f t="array" ref="B48">INDEX('[10]Maintenance Plan'!$C$7:$K$568,A48,1)</f>
        <v>#REF!</v>
      </c>
      <c r="C48" s="85" t="e" cm="1">
        <f t="array" ref="C48">INDEX('[10]Maintenance Plan'!$C$7:$K$568,A48,3)</f>
        <v>#REF!</v>
      </c>
      <c r="D48" s="86" t="s">
        <v>6</v>
      </c>
      <c r="E48" s="87" t="e">
        <f>#REF!</f>
        <v>#REF!</v>
      </c>
      <c r="F48" s="88"/>
      <c r="G48" s="88"/>
      <c r="H48" s="89"/>
    </row>
    <row r="49" hidden="1" ht="15" customHeight="1">
      <c r="A49" s="90"/>
      <c r="B49" s="91"/>
      <c r="C49" s="92"/>
      <c r="D49" s="93"/>
      <c r="E49" s="94">
        <f>$J$2</f>
        <v>0</v>
      </c>
      <c r="F49" s="95"/>
      <c r="G49" s="96"/>
      <c r="H49" s="97"/>
    </row>
    <row r="50" hidden="1" ht="15" customHeight="1">
      <c r="A50" s="83">
        <v>21</v>
      </c>
      <c r="B50" s="84" t="e" cm="1">
        <f t="array" ref="B50">INDEX('[10]Maintenance Plan'!$C$7:$K$568,A50,1)</f>
        <v>#REF!</v>
      </c>
      <c r="C50" s="85" t="e" cm="1">
        <f t="array" ref="C50">INDEX('[10]Maintenance Plan'!$C$7:$K$568,A50,3)</f>
        <v>#REF!</v>
      </c>
      <c r="D50" s="86" t="s">
        <v>6</v>
      </c>
      <c r="E50" s="87" t="e">
        <f>#REF!</f>
        <v>#REF!</v>
      </c>
      <c r="F50" s="88"/>
      <c r="G50" s="88"/>
      <c r="H50" s="89"/>
    </row>
    <row r="51" hidden="1" ht="15" customHeight="1">
      <c r="A51" s="90"/>
      <c r="B51" s="91"/>
      <c r="C51" s="92"/>
      <c r="D51" s="93"/>
      <c r="E51" s="94">
        <f>$J$2</f>
        <v>0</v>
      </c>
      <c r="F51" s="95"/>
      <c r="G51" s="96"/>
      <c r="H51" s="97"/>
    </row>
    <row r="52" hidden="1" ht="15" customHeight="1">
      <c r="A52" s="83">
        <v>22</v>
      </c>
      <c r="B52" s="84" t="e" cm="1">
        <f t="array" ref="B52">INDEX('[10]Maintenance Plan'!$C$7:$K$568,A52,1)</f>
        <v>#REF!</v>
      </c>
      <c r="C52" s="85" t="e" cm="1">
        <f t="array" ref="C52">INDEX('[10]Maintenance Plan'!$C$7:$K$568,A52,3)</f>
        <v>#REF!</v>
      </c>
      <c r="D52" s="86" t="s">
        <v>6</v>
      </c>
      <c r="E52" s="87" t="e">
        <f>#REF!</f>
        <v>#REF!</v>
      </c>
      <c r="F52" s="88"/>
      <c r="G52" s="88"/>
      <c r="H52" s="89"/>
    </row>
    <row r="53" hidden="1" ht="15" customHeight="1">
      <c r="A53" s="90"/>
      <c r="B53" s="91"/>
      <c r="C53" s="92"/>
      <c r="D53" s="93"/>
      <c r="E53" s="94">
        <f>$J$2</f>
        <v>0</v>
      </c>
      <c r="F53" s="95"/>
      <c r="G53" s="96"/>
      <c r="H53" s="97"/>
    </row>
    <row r="54" hidden="1" ht="15" customHeight="1">
      <c r="A54" s="83">
        <v>23</v>
      </c>
      <c r="B54" s="84" t="e" cm="1">
        <f t="array" ref="B54">INDEX('[10]Maintenance Plan'!$C$7:$K$568,A54,1)</f>
        <v>#REF!</v>
      </c>
      <c r="C54" s="85" t="e" cm="1">
        <f t="array" ref="C54">INDEX('[10]Maintenance Plan'!$C$7:$K$568,A54,3)</f>
        <v>#REF!</v>
      </c>
      <c r="D54" s="86" t="s">
        <v>6</v>
      </c>
      <c r="E54" s="87" t="e">
        <f>#REF!</f>
        <v>#REF!</v>
      </c>
      <c r="F54" s="88"/>
      <c r="G54" s="88"/>
      <c r="H54" s="89"/>
    </row>
    <row r="55" hidden="1" ht="15" customHeight="1">
      <c r="A55" s="90"/>
      <c r="B55" s="91"/>
      <c r="C55" s="92"/>
      <c r="D55" s="93"/>
      <c r="E55" s="94">
        <f>$J$2</f>
        <v>0</v>
      </c>
      <c r="F55" s="95"/>
      <c r="G55" s="96"/>
      <c r="H55" s="97"/>
    </row>
    <row r="56" hidden="1" ht="15" customHeight="1">
      <c r="A56" s="83">
        <v>24</v>
      </c>
      <c r="B56" s="84" t="e" cm="1">
        <f t="array" ref="B56">INDEX('[10]Maintenance Plan'!$C$7:$K$568,A56,1)</f>
        <v>#REF!</v>
      </c>
      <c r="C56" s="85" t="e" cm="1">
        <f t="array" ref="C56">INDEX('[10]Maintenance Plan'!$C$7:$K$568,A56,3)</f>
        <v>#REF!</v>
      </c>
      <c r="D56" s="86" t="s">
        <v>6</v>
      </c>
      <c r="E56" s="87" t="e">
        <f>#REF!</f>
        <v>#REF!</v>
      </c>
      <c r="F56" s="88"/>
      <c r="G56" s="88"/>
      <c r="H56" s="89"/>
    </row>
    <row r="57" hidden="1" ht="15" customHeight="1">
      <c r="A57" s="90"/>
      <c r="B57" s="91"/>
      <c r="C57" s="92"/>
      <c r="D57" s="93"/>
      <c r="E57" s="94">
        <f>$J$2</f>
        <v>0</v>
      </c>
      <c r="F57" s="95"/>
      <c r="G57" s="96"/>
      <c r="H57" s="97"/>
    </row>
    <row r="58" hidden="1" ht="15" customHeight="1">
      <c r="A58" s="83">
        <v>25</v>
      </c>
      <c r="B58" s="84" t="e" cm="1">
        <f t="array" ref="B58">INDEX('[10]Maintenance Plan'!$C$7:$K$568,A58,1)</f>
        <v>#REF!</v>
      </c>
      <c r="C58" s="85" t="e" cm="1">
        <f t="array" ref="C58">INDEX('[10]Maintenance Plan'!$C$7:$K$568,A58,3)</f>
        <v>#REF!</v>
      </c>
      <c r="D58" s="86" t="s">
        <v>6</v>
      </c>
      <c r="E58" s="87" t="e">
        <f>#REF!</f>
        <v>#REF!</v>
      </c>
      <c r="F58" s="88"/>
      <c r="G58" s="88"/>
      <c r="H58" s="89"/>
    </row>
    <row r="59" hidden="1" ht="15" customHeight="1">
      <c r="A59" s="90"/>
      <c r="B59" s="91"/>
      <c r="C59" s="92"/>
      <c r="D59" s="93"/>
      <c r="E59" s="94">
        <f>$J$2</f>
        <v>0</v>
      </c>
      <c r="F59" s="95"/>
      <c r="G59" s="96"/>
      <c r="H59" s="97"/>
    </row>
    <row r="60" hidden="1" ht="15" customHeight="1">
      <c r="A60" s="83">
        <v>26</v>
      </c>
      <c r="B60" s="84" t="e" cm="1">
        <f t="array" ref="B60">INDEX('[10]Maintenance Plan'!$C$7:$K$568,A60,1)</f>
        <v>#REF!</v>
      </c>
      <c r="C60" s="85" t="e" cm="1">
        <f t="array" ref="C60">INDEX('[10]Maintenance Plan'!$C$7:$K$568,A60,3)</f>
        <v>#REF!</v>
      </c>
      <c r="D60" s="86" t="s">
        <v>6</v>
      </c>
      <c r="E60" s="87" t="e">
        <f>#REF!</f>
        <v>#REF!</v>
      </c>
      <c r="F60" s="88"/>
      <c r="G60" s="88"/>
      <c r="H60" s="89"/>
    </row>
    <row r="61" hidden="1" ht="15" customHeight="1">
      <c r="A61" s="90"/>
      <c r="B61" s="91"/>
      <c r="C61" s="92"/>
      <c r="D61" s="93"/>
      <c r="E61" s="94">
        <f>$J$2</f>
        <v>0</v>
      </c>
      <c r="F61" s="95"/>
      <c r="G61" s="96"/>
      <c r="H61" s="97"/>
    </row>
    <row r="62" hidden="1" ht="15" customHeight="1">
      <c r="A62" s="83">
        <v>27</v>
      </c>
      <c r="B62" s="84" t="e" cm="1">
        <f t="array" ref="B62">INDEX('[10]Maintenance Plan'!$C$7:$K$568,A62,1)</f>
        <v>#REF!</v>
      </c>
      <c r="C62" s="85" t="e" cm="1">
        <f t="array" ref="C62">INDEX('[10]Maintenance Plan'!$C$7:$K$568,A62,3)</f>
        <v>#REF!</v>
      </c>
      <c r="D62" s="86" t="s">
        <v>6</v>
      </c>
      <c r="E62" s="87" t="e">
        <f>#REF!</f>
        <v>#REF!</v>
      </c>
      <c r="F62" s="88"/>
      <c r="G62" s="88"/>
      <c r="H62" s="89"/>
    </row>
    <row r="63" hidden="1" ht="15" customHeight="1">
      <c r="A63" s="90"/>
      <c r="B63" s="91"/>
      <c r="C63" s="92"/>
      <c r="D63" s="93"/>
      <c r="E63" s="94">
        <f>$J$2</f>
        <v>0</v>
      </c>
      <c r="F63" s="95"/>
      <c r="G63" s="96"/>
      <c r="H63" s="97"/>
    </row>
    <row r="64" hidden="1" ht="15" customHeight="1">
      <c r="A64" s="83">
        <v>28</v>
      </c>
      <c r="B64" s="84" t="e" cm="1">
        <f t="array" ref="B64">INDEX('[10]Maintenance Plan'!$C$7:$K$568,A64,1)</f>
        <v>#REF!</v>
      </c>
      <c r="C64" s="85" t="e" cm="1">
        <f t="array" ref="C64">INDEX('[10]Maintenance Plan'!$C$7:$K$568,A64,3)</f>
        <v>#REF!</v>
      </c>
      <c r="D64" s="86" t="s">
        <v>6</v>
      </c>
      <c r="E64" s="87" t="e">
        <f>#REF!</f>
        <v>#REF!</v>
      </c>
      <c r="F64" s="88"/>
      <c r="G64" s="88"/>
      <c r="H64" s="89"/>
    </row>
    <row r="65" hidden="1" ht="15" customHeight="1">
      <c r="A65" s="90"/>
      <c r="B65" s="91"/>
      <c r="C65" s="92"/>
      <c r="D65" s="93"/>
      <c r="E65" s="94">
        <f>$J$2</f>
        <v>0</v>
      </c>
      <c r="F65" s="95"/>
      <c r="G65" s="96"/>
      <c r="H65" s="97"/>
    </row>
    <row r="66" hidden="1" ht="15" customHeight="1">
      <c r="A66" s="83">
        <v>29</v>
      </c>
      <c r="B66" s="84" t="e" cm="1">
        <f t="array" ref="B66">INDEX('[10]Maintenance Plan'!$C$7:$K$568,A66,1)</f>
        <v>#REF!</v>
      </c>
      <c r="C66" s="85" t="e" cm="1">
        <f t="array" ref="C66">INDEX('[10]Maintenance Plan'!$C$7:$K$568,A66,3)</f>
        <v>#REF!</v>
      </c>
      <c r="D66" s="86" t="s">
        <v>6</v>
      </c>
      <c r="E66" s="87" t="e">
        <f>#REF!</f>
        <v>#REF!</v>
      </c>
      <c r="F66" s="88"/>
      <c r="G66" s="88"/>
      <c r="H66" s="89"/>
    </row>
    <row r="67" hidden="1" ht="15" customHeight="1">
      <c r="A67" s="90"/>
      <c r="B67" s="91"/>
      <c r="C67" s="92"/>
      <c r="D67" s="93"/>
      <c r="E67" s="94">
        <f>$J$2</f>
        <v>0</v>
      </c>
      <c r="F67" s="95"/>
      <c r="G67" s="96"/>
      <c r="H67" s="97"/>
    </row>
    <row r="68" hidden="1" ht="15" customHeight="1">
      <c r="A68" s="83">
        <v>30</v>
      </c>
      <c r="B68" s="84" t="e" cm="1">
        <f t="array" ref="B68">INDEX('[10]Maintenance Plan'!$C$7:$K$568,A68,1)</f>
        <v>#REF!</v>
      </c>
      <c r="C68" s="85" t="e" cm="1">
        <f t="array" ref="C68">INDEX('[10]Maintenance Plan'!$C$7:$K$568,A68,3)</f>
        <v>#REF!</v>
      </c>
      <c r="D68" s="86" t="s">
        <v>6</v>
      </c>
      <c r="E68" s="87" t="e">
        <f>#REF!</f>
        <v>#REF!</v>
      </c>
      <c r="F68" s="88"/>
      <c r="G68" s="88"/>
      <c r="H68" s="89"/>
    </row>
    <row r="69" hidden="1" ht="15" customHeight="1">
      <c r="A69" s="90"/>
      <c r="B69" s="91"/>
      <c r="C69" s="92"/>
      <c r="D69" s="93"/>
      <c r="E69" s="94">
        <f>$J$2</f>
        <v>0</v>
      </c>
      <c r="F69" s="95"/>
      <c r="G69" s="96"/>
      <c r="H69" s="97"/>
    </row>
    <row r="70" hidden="1" ht="15" customHeight="1">
      <c r="A70" s="83">
        <v>31</v>
      </c>
      <c r="B70" s="84" t="e" cm="1">
        <f t="array" ref="B70">INDEX('[10]Maintenance Plan'!$C$7:$K$568,A70,1)</f>
        <v>#REF!</v>
      </c>
      <c r="C70" s="85" t="e" cm="1">
        <f t="array" ref="C70">INDEX('[10]Maintenance Plan'!$C$7:$K$568,A70,3)</f>
        <v>#REF!</v>
      </c>
      <c r="D70" s="86" t="s">
        <v>6</v>
      </c>
      <c r="E70" s="87" t="e">
        <f>#REF!</f>
        <v>#REF!</v>
      </c>
      <c r="F70" s="88"/>
      <c r="G70" s="88"/>
      <c r="H70" s="89"/>
    </row>
    <row r="71" hidden="1" ht="15" customHeight="1">
      <c r="A71" s="90"/>
      <c r="B71" s="91"/>
      <c r="C71" s="92"/>
      <c r="D71" s="93"/>
      <c r="E71" s="94">
        <f>$J$2</f>
        <v>0</v>
      </c>
      <c r="F71" s="95"/>
      <c r="G71" s="96"/>
      <c r="H71" s="97"/>
    </row>
    <row r="72" hidden="1" ht="15" customHeight="1">
      <c r="A72" s="83">
        <v>32</v>
      </c>
      <c r="B72" s="84" t="e" cm="1">
        <f t="array" ref="B72">INDEX('[10]Maintenance Plan'!$C$7:$K$568,A72,1)</f>
        <v>#REF!</v>
      </c>
      <c r="C72" s="85" t="e" cm="1">
        <f t="array" ref="C72">INDEX('[10]Maintenance Plan'!$C$7:$K$568,A72,3)</f>
        <v>#REF!</v>
      </c>
      <c r="D72" s="86" t="s">
        <v>6</v>
      </c>
      <c r="E72" s="87" t="e">
        <f>#REF!</f>
        <v>#REF!</v>
      </c>
      <c r="F72" s="88"/>
      <c r="G72" s="88"/>
      <c r="H72" s="89"/>
    </row>
    <row r="73" hidden="1" ht="15" customHeight="1">
      <c r="A73" s="90"/>
      <c r="B73" s="91"/>
      <c r="C73" s="92"/>
      <c r="D73" s="93"/>
      <c r="E73" s="94">
        <f>$J$2</f>
        <v>0</v>
      </c>
      <c r="F73" s="95"/>
      <c r="G73" s="96"/>
      <c r="H73" s="97"/>
    </row>
    <row r="74" hidden="1" ht="15" customHeight="1">
      <c r="A74" s="83">
        <v>33</v>
      </c>
      <c r="B74" s="84" t="e" cm="1">
        <f t="array" ref="B74">INDEX('[10]Maintenance Plan'!$C$7:$K$568,A74,1)</f>
        <v>#REF!</v>
      </c>
      <c r="C74" s="85" t="e" cm="1">
        <f t="array" ref="C74">INDEX('[10]Maintenance Plan'!$C$7:$K$568,A74,3)</f>
        <v>#REF!</v>
      </c>
      <c r="D74" s="86" t="s">
        <v>6</v>
      </c>
      <c r="E74" s="87" t="e">
        <f>#REF!</f>
        <v>#REF!</v>
      </c>
      <c r="F74" s="88"/>
      <c r="G74" s="88"/>
      <c r="H74" s="89"/>
    </row>
    <row r="75" hidden="1" ht="15" customHeight="1">
      <c r="A75" s="90"/>
      <c r="B75" s="91"/>
      <c r="C75" s="92"/>
      <c r="D75" s="93"/>
      <c r="E75" s="94">
        <f>$J$2</f>
        <v>0</v>
      </c>
      <c r="F75" s="95"/>
      <c r="G75" s="96"/>
      <c r="H75" s="97"/>
    </row>
    <row r="76" hidden="1" ht="15" customHeight="1">
      <c r="A76" s="83">
        <v>34</v>
      </c>
      <c r="B76" s="84" t="e" cm="1">
        <f t="array" ref="B76">INDEX('[10]Maintenance Plan'!$C$7:$K$568,A76,1)</f>
        <v>#REF!</v>
      </c>
      <c r="C76" s="85" t="e" cm="1">
        <f t="array" ref="C76">INDEX('[10]Maintenance Plan'!$C$7:$K$568,A76,3)</f>
        <v>#REF!</v>
      </c>
      <c r="D76" s="86" t="s">
        <v>6</v>
      </c>
      <c r="E76" s="87" t="e">
        <f>#REF!</f>
        <v>#REF!</v>
      </c>
      <c r="F76" s="88"/>
      <c r="G76" s="88"/>
      <c r="H76" s="89"/>
    </row>
    <row r="77" hidden="1" ht="15" customHeight="1">
      <c r="A77" s="90"/>
      <c r="B77" s="91"/>
      <c r="C77" s="92"/>
      <c r="D77" s="93"/>
      <c r="E77" s="94">
        <f>$J$2</f>
        <v>0</v>
      </c>
      <c r="F77" s="95"/>
      <c r="G77" s="96"/>
      <c r="H77" s="97"/>
    </row>
    <row r="78" hidden="1" ht="15" customHeight="1">
      <c r="A78" s="83">
        <v>35</v>
      </c>
      <c r="B78" s="84" t="e" cm="1">
        <f t="array" ref="B78">INDEX('[10]Maintenance Plan'!$C$7:$K$568,A78,1)</f>
        <v>#REF!</v>
      </c>
      <c r="C78" s="85" t="e" cm="1">
        <f t="array" ref="C78">INDEX('[10]Maintenance Plan'!$C$7:$K$568,A78,3)</f>
        <v>#REF!</v>
      </c>
      <c r="D78" s="86" t="s">
        <v>6</v>
      </c>
      <c r="E78" s="87" t="e">
        <f>#REF!</f>
        <v>#REF!</v>
      </c>
      <c r="F78" s="88"/>
      <c r="G78" s="88"/>
      <c r="H78" s="89"/>
    </row>
    <row r="79" hidden="1" ht="15" customHeight="1">
      <c r="A79" s="90"/>
      <c r="B79" s="91"/>
      <c r="C79" s="92"/>
      <c r="D79" s="93"/>
      <c r="E79" s="94">
        <f>$J$2</f>
        <v>0</v>
      </c>
      <c r="F79" s="95"/>
      <c r="G79" s="96"/>
      <c r="H79" s="97"/>
    </row>
    <row r="80" hidden="1" ht="15" customHeight="1">
      <c r="A80" s="83">
        <v>36</v>
      </c>
      <c r="B80" s="84" t="e" cm="1">
        <f t="array" ref="B80">INDEX('[10]Maintenance Plan'!$C$7:$K$568,A80,1)</f>
        <v>#REF!</v>
      </c>
      <c r="C80" s="85" t="e" cm="1">
        <f t="array" ref="C80">INDEX('[10]Maintenance Plan'!$C$7:$K$568,A80,3)</f>
        <v>#REF!</v>
      </c>
      <c r="D80" s="86" t="s">
        <v>6</v>
      </c>
      <c r="E80" s="87" t="e">
        <f>#REF!</f>
        <v>#REF!</v>
      </c>
      <c r="F80" s="88"/>
      <c r="G80" s="88"/>
      <c r="H80" s="89"/>
    </row>
    <row r="81" hidden="1" ht="15" customHeight="1">
      <c r="A81" s="90"/>
      <c r="B81" s="91"/>
      <c r="C81" s="92"/>
      <c r="D81" s="93"/>
      <c r="E81" s="94">
        <f>$J$2</f>
        <v>0</v>
      </c>
      <c r="F81" s="95"/>
      <c r="G81" s="96"/>
      <c r="H81" s="97"/>
    </row>
    <row r="82" hidden="1" ht="15" customHeight="1">
      <c r="A82" s="83">
        <v>37</v>
      </c>
      <c r="B82" s="84" t="e" cm="1">
        <f t="array" ref="B82">INDEX('[10]Maintenance Plan'!$C$7:$K$568,A82,1)</f>
        <v>#REF!</v>
      </c>
      <c r="C82" s="85" t="e" cm="1">
        <f t="array" ref="C82">INDEX('[10]Maintenance Plan'!$C$7:$K$568,A82,3)</f>
        <v>#REF!</v>
      </c>
      <c r="D82" s="86" t="s">
        <v>6</v>
      </c>
      <c r="E82" s="87" t="e">
        <f>#REF!</f>
        <v>#REF!</v>
      </c>
      <c r="F82" s="88"/>
      <c r="G82" s="88"/>
      <c r="H82" s="89"/>
    </row>
    <row r="83" hidden="1" ht="15" customHeight="1">
      <c r="A83" s="90"/>
      <c r="B83" s="91"/>
      <c r="C83" s="92"/>
      <c r="D83" s="93"/>
      <c r="E83" s="94">
        <f>$J$2</f>
        <v>0</v>
      </c>
      <c r="F83" s="95"/>
      <c r="G83" s="96"/>
      <c r="H83" s="97"/>
    </row>
    <row r="84" hidden="1" ht="15" customHeight="1">
      <c r="A84" s="83">
        <v>38</v>
      </c>
      <c r="B84" s="84" t="e" cm="1">
        <f t="array" ref="B84">INDEX('[10]Maintenance Plan'!$C$7:$K$568,A84,1)</f>
        <v>#REF!</v>
      </c>
      <c r="C84" s="85" t="e" cm="1">
        <f t="array" ref="C84">INDEX('[10]Maintenance Plan'!$C$7:$K$568,A84,3)</f>
        <v>#REF!</v>
      </c>
      <c r="D84" s="86" t="s">
        <v>6</v>
      </c>
      <c r="E84" s="87" t="e">
        <f>#REF!</f>
        <v>#REF!</v>
      </c>
      <c r="F84" s="88"/>
      <c r="G84" s="88"/>
      <c r="H84" s="89"/>
    </row>
    <row r="85" hidden="1" ht="15" customHeight="1">
      <c r="A85" s="90"/>
      <c r="B85" s="91"/>
      <c r="C85" s="92"/>
      <c r="D85" s="93"/>
      <c r="E85" s="94">
        <f>$J$2</f>
        <v>0</v>
      </c>
      <c r="F85" s="95"/>
      <c r="G85" s="96"/>
      <c r="H85" s="97"/>
    </row>
    <row r="86" hidden="1" ht="15" customHeight="1">
      <c r="A86" s="83">
        <v>39</v>
      </c>
      <c r="B86" s="84" t="e" cm="1">
        <f t="array" ref="B86">INDEX('[10]Maintenance Plan'!$C$7:$K$568,A86,1)</f>
        <v>#REF!</v>
      </c>
      <c r="C86" s="85" t="e" cm="1">
        <f t="array" ref="C86">INDEX('[10]Maintenance Plan'!$C$7:$K$568,A86,3)</f>
        <v>#REF!</v>
      </c>
      <c r="D86" s="86" t="s">
        <v>6</v>
      </c>
      <c r="E86" s="87" t="e">
        <f>#REF!</f>
        <v>#REF!</v>
      </c>
      <c r="F86" s="88"/>
      <c r="G86" s="88"/>
      <c r="H86" s="89"/>
    </row>
    <row r="87" hidden="1" ht="15" customHeight="1">
      <c r="A87" s="90"/>
      <c r="B87" s="91"/>
      <c r="C87" s="92"/>
      <c r="D87" s="93"/>
      <c r="E87" s="94">
        <f>$J$2</f>
        <v>0</v>
      </c>
      <c r="F87" s="95"/>
      <c r="G87" s="96"/>
      <c r="H87" s="97"/>
    </row>
    <row r="88" hidden="1" ht="15" customHeight="1">
      <c r="A88" s="83">
        <v>40</v>
      </c>
      <c r="B88" s="84" t="e" cm="1">
        <f t="array" ref="B88">INDEX('[10]Maintenance Plan'!$C$7:$K$568,A88,1)</f>
        <v>#REF!</v>
      </c>
      <c r="C88" s="85" t="e" cm="1">
        <f t="array" ref="C88">INDEX('[10]Maintenance Plan'!$C$7:$K$568,A88,3)</f>
        <v>#REF!</v>
      </c>
      <c r="D88" s="86" t="s">
        <v>6</v>
      </c>
      <c r="E88" s="87" t="e">
        <f>#REF!</f>
        <v>#REF!</v>
      </c>
      <c r="F88" s="88"/>
      <c r="G88" s="88"/>
      <c r="H88" s="89"/>
    </row>
    <row r="89" hidden="1" ht="15" customHeight="1">
      <c r="A89" s="90"/>
      <c r="B89" s="91"/>
      <c r="C89" s="92"/>
      <c r="D89" s="93"/>
      <c r="E89" s="94">
        <f>$J$2</f>
        <v>0</v>
      </c>
      <c r="F89" s="95"/>
      <c r="G89" s="96"/>
      <c r="H89" s="97"/>
    </row>
    <row r="90" hidden="1" ht="15" customHeight="1">
      <c r="A90" s="83">
        <v>41</v>
      </c>
      <c r="B90" s="84" t="e" cm="1">
        <f t="array" ref="B90">INDEX('[10]Maintenance Plan'!$C$7:$K$568,A90,1)</f>
        <v>#REF!</v>
      </c>
      <c r="C90" s="85" t="e" cm="1">
        <f t="array" ref="C90">INDEX('[10]Maintenance Plan'!$C$7:$K$568,A90,3)</f>
        <v>#REF!</v>
      </c>
      <c r="D90" s="86" t="s">
        <v>6</v>
      </c>
      <c r="E90" s="87" t="e">
        <f>#REF!</f>
        <v>#REF!</v>
      </c>
      <c r="F90" s="88"/>
      <c r="G90" s="88"/>
      <c r="H90" s="89"/>
    </row>
    <row r="91" hidden="1" ht="15" customHeight="1">
      <c r="A91" s="90"/>
      <c r="B91" s="91"/>
      <c r="C91" s="92"/>
      <c r="D91" s="93"/>
      <c r="E91" s="94">
        <f>$J$2</f>
        <v>0</v>
      </c>
      <c r="F91" s="95"/>
      <c r="G91" s="96"/>
      <c r="H91" s="97"/>
    </row>
    <row r="92" hidden="1" ht="15" customHeight="1">
      <c r="A92" s="83">
        <v>42</v>
      </c>
      <c r="B92" s="84" t="e" cm="1">
        <f t="array" ref="B92">INDEX('[10]Maintenance Plan'!$C$7:$K$568,A92,1)</f>
        <v>#REF!</v>
      </c>
      <c r="C92" s="85" t="e" cm="1">
        <f t="array" ref="C92">INDEX('[10]Maintenance Plan'!$C$7:$K$568,A92,3)</f>
        <v>#REF!</v>
      </c>
      <c r="D92" s="86" t="s">
        <v>6</v>
      </c>
      <c r="E92" s="87" t="e">
        <f>#REF!</f>
        <v>#REF!</v>
      </c>
      <c r="F92" s="88"/>
      <c r="G92" s="88"/>
      <c r="H92" s="89"/>
    </row>
    <row r="93" hidden="1" ht="15" customHeight="1">
      <c r="A93" s="90"/>
      <c r="B93" s="91"/>
      <c r="C93" s="92"/>
      <c r="D93" s="93"/>
      <c r="E93" s="94">
        <f>$J$2</f>
        <v>0</v>
      </c>
      <c r="F93" s="95"/>
      <c r="G93" s="96"/>
      <c r="H93" s="97"/>
    </row>
    <row r="94" ht="15" customHeight="1">
      <c r="A94" s="83">
        <v>43</v>
      </c>
      <c r="B94" s="84" t="e" cm="1">
        <f t="array" ref="B94">INDEX('[10]Maintenance Plan'!$C$7:$K$568,A94,1)</f>
        <v>#REF!</v>
      </c>
      <c r="C94" s="85" t="e" cm="1">
        <f t="array" ref="C94">INDEX('[10]Maintenance Plan'!$C$7:$K$568,A94,3)</f>
        <v>#REF!</v>
      </c>
      <c r="D94" s="86" t="s">
        <v>6</v>
      </c>
      <c r="E94" s="87" t="e">
        <f>#REF!</f>
        <v>#REF!</v>
      </c>
      <c r="F94" s="88"/>
      <c r="G94" s="88"/>
      <c r="H94" s="89"/>
    </row>
    <row r="95" ht="15" customHeight="1">
      <c r="A95" s="90"/>
      <c r="B95" s="91"/>
      <c r="C95" s="92"/>
      <c r="D95" s="93"/>
      <c r="E95" s="94">
        <f>$J$2</f>
        <v>0</v>
      </c>
      <c r="F95" s="95"/>
      <c r="G95" s="96"/>
      <c r="H95" s="97"/>
    </row>
    <row r="96" ht="15" customHeight="1">
      <c r="A96" s="83">
        <v>44</v>
      </c>
      <c r="B96" s="84" t="e" cm="1">
        <f t="array" ref="B96">INDEX('[10]Maintenance Plan'!$C$7:$K$568,A96,1)</f>
        <v>#REF!</v>
      </c>
      <c r="C96" s="85" t="e" cm="1">
        <f t="array" ref="C96">INDEX('[10]Maintenance Plan'!$C$7:$K$568,A96,3)</f>
        <v>#REF!</v>
      </c>
      <c r="D96" s="86" t="s">
        <v>6</v>
      </c>
      <c r="E96" s="87" t="e">
        <f>#REF!</f>
        <v>#REF!</v>
      </c>
      <c r="F96" s="88"/>
      <c r="G96" s="88"/>
      <c r="H96" s="89"/>
    </row>
    <row r="97" ht="15" customHeight="1">
      <c r="A97" s="90"/>
      <c r="B97" s="91"/>
      <c r="C97" s="92"/>
      <c r="D97" s="93"/>
      <c r="E97" s="94">
        <f>$J$2</f>
        <v>0</v>
      </c>
      <c r="F97" s="95"/>
      <c r="G97" s="96"/>
      <c r="H97" s="97"/>
    </row>
    <row r="98" ht="15" customHeight="1">
      <c r="A98" s="83">
        <v>45</v>
      </c>
      <c r="B98" s="84" t="e" cm="1">
        <f t="array" ref="B98">INDEX('[10]Maintenance Plan'!$C$7:$K$568,A98,1)</f>
        <v>#REF!</v>
      </c>
      <c r="C98" s="85" t="e" cm="1">
        <f t="array" ref="C98">INDEX('[10]Maintenance Plan'!$C$7:$K$568,A98,3)</f>
        <v>#REF!</v>
      </c>
      <c r="D98" s="86" t="s">
        <v>6</v>
      </c>
      <c r="E98" s="87" t="e">
        <f>#REF!</f>
        <v>#REF!</v>
      </c>
      <c r="F98" s="88"/>
      <c r="G98" s="88"/>
      <c r="H98" s="89"/>
    </row>
    <row r="99" ht="15" customHeight="1">
      <c r="A99" s="90"/>
      <c r="B99" s="91"/>
      <c r="C99" s="92"/>
      <c r="D99" s="93"/>
      <c r="E99" s="94">
        <f>$J$2</f>
        <v>0</v>
      </c>
      <c r="F99" s="95"/>
      <c r="G99" s="96"/>
      <c r="H99" s="97"/>
    </row>
    <row r="100" ht="15" customHeight="1">
      <c r="A100" s="83">
        <v>46</v>
      </c>
      <c r="B100" s="84" t="e" cm="1">
        <f t="array" ref="B100">INDEX('[10]Maintenance Plan'!$C$7:$K$568,A100,1)</f>
        <v>#REF!</v>
      </c>
      <c r="C100" s="85" t="e" cm="1">
        <f t="array" ref="C100">INDEX('[10]Maintenance Plan'!$C$7:$K$568,A100,3)</f>
        <v>#REF!</v>
      </c>
      <c r="D100" s="86" t="s">
        <v>6</v>
      </c>
      <c r="E100" s="87" t="e">
        <f>#REF!</f>
        <v>#REF!</v>
      </c>
      <c r="F100" s="88"/>
      <c r="G100" s="88"/>
      <c r="H100" s="89"/>
    </row>
    <row r="101" ht="15" customHeight="1">
      <c r="A101" s="90"/>
      <c r="B101" s="91"/>
      <c r="C101" s="92"/>
      <c r="D101" s="93"/>
      <c r="E101" s="94">
        <f>$J$2</f>
        <v>0</v>
      </c>
      <c r="F101" s="95"/>
      <c r="G101" s="96"/>
      <c r="H101" s="97"/>
    </row>
    <row r="102" ht="15" customHeight="1">
      <c r="A102" s="83">
        <v>47</v>
      </c>
      <c r="B102" s="84" t="e" cm="1">
        <f t="array" ref="B102">INDEX('[10]Maintenance Plan'!$C$7:$K$568,A102,1)</f>
        <v>#REF!</v>
      </c>
      <c r="C102" s="85" t="e" cm="1">
        <f t="array" ref="C102">INDEX('[10]Maintenance Plan'!$C$7:$K$568,A102,3)</f>
        <v>#REF!</v>
      </c>
      <c r="D102" s="86" t="s">
        <v>6</v>
      </c>
      <c r="E102" s="87" t="e">
        <f>#REF!</f>
        <v>#REF!</v>
      </c>
      <c r="F102" s="88"/>
      <c r="G102" s="88"/>
      <c r="H102" s="89"/>
    </row>
    <row r="103" ht="15" customHeight="1">
      <c r="A103" s="90"/>
      <c r="B103" s="91"/>
      <c r="C103" s="92"/>
      <c r="D103" s="93"/>
      <c r="E103" s="94">
        <f>$J$2</f>
        <v>0</v>
      </c>
      <c r="F103" s="95"/>
      <c r="G103" s="96"/>
      <c r="H103" s="97"/>
    </row>
    <row r="104" ht="15" customHeight="1">
      <c r="A104" s="83">
        <v>48</v>
      </c>
      <c r="B104" s="84" t="e" cm="1">
        <f t="array" ref="B104">INDEX('[10]Maintenance Plan'!$C$7:$K$568,A104,1)</f>
        <v>#REF!</v>
      </c>
      <c r="C104" s="85" t="e" cm="1">
        <f t="array" ref="C104">INDEX('[10]Maintenance Plan'!$C$7:$K$568,A104,3)</f>
        <v>#REF!</v>
      </c>
      <c r="D104" s="86" t="s">
        <v>6</v>
      </c>
      <c r="E104" s="87" t="e">
        <f>#REF!</f>
        <v>#REF!</v>
      </c>
      <c r="F104" s="88"/>
      <c r="G104" s="88"/>
      <c r="H104" s="89"/>
    </row>
    <row r="105" ht="15" customHeight="1">
      <c r="A105" s="90"/>
      <c r="B105" s="91"/>
      <c r="C105" s="92"/>
      <c r="D105" s="93"/>
      <c r="E105" s="94">
        <f>$J$2</f>
        <v>0</v>
      </c>
      <c r="F105" s="95"/>
      <c r="G105" s="96"/>
      <c r="H105" s="97"/>
    </row>
    <row r="106" ht="15" customHeight="1">
      <c r="A106" s="83">
        <v>49</v>
      </c>
      <c r="B106" s="84" t="e" cm="1">
        <f t="array" ref="B106">INDEX('[10]Maintenance Plan'!$C$7:$K$568,A106,1)</f>
        <v>#REF!</v>
      </c>
      <c r="C106" s="85" t="e" cm="1">
        <f t="array" ref="C106">INDEX('[10]Maintenance Plan'!$C$7:$K$568,A106,3)</f>
        <v>#REF!</v>
      </c>
      <c r="D106" s="86" t="s">
        <v>6</v>
      </c>
      <c r="E106" s="87" t="e">
        <f>#REF!</f>
        <v>#REF!</v>
      </c>
      <c r="F106" s="88"/>
      <c r="G106" s="88"/>
      <c r="H106" s="89"/>
    </row>
    <row r="107" ht="15" customHeight="1">
      <c r="A107" s="90"/>
      <c r="B107" s="91"/>
      <c r="C107" s="92"/>
      <c r="D107" s="93"/>
      <c r="E107" s="94">
        <f>$J$2</f>
        <v>0</v>
      </c>
      <c r="F107" s="95"/>
      <c r="G107" s="96"/>
      <c r="H107" s="97"/>
    </row>
    <row r="108" ht="15" customHeight="1">
      <c r="A108" s="83">
        <v>50</v>
      </c>
      <c r="B108" s="84" t="e" cm="1">
        <f t="array" ref="B108">INDEX('[10]Maintenance Plan'!$C$7:$K$568,A108,1)</f>
        <v>#REF!</v>
      </c>
      <c r="C108" s="85" t="e" cm="1">
        <f t="array" ref="C108">INDEX('[10]Maintenance Plan'!$C$7:$K$568,A108,3)</f>
        <v>#REF!</v>
      </c>
      <c r="D108" s="86" t="s">
        <v>6</v>
      </c>
      <c r="E108" s="87" t="e">
        <f>#REF!</f>
        <v>#REF!</v>
      </c>
      <c r="F108" s="88"/>
      <c r="G108" s="88"/>
      <c r="H108" s="89"/>
    </row>
    <row r="109" ht="15" customHeight="1">
      <c r="A109" s="90"/>
      <c r="B109" s="91"/>
      <c r="C109" s="92"/>
      <c r="D109" s="93"/>
      <c r="E109" s="94">
        <f>$J$2</f>
        <v>0</v>
      </c>
      <c r="F109" s="95"/>
      <c r="G109" s="96"/>
      <c r="H109" s="97"/>
    </row>
    <row r="110" ht="15" customHeight="1">
      <c r="A110" s="83">
        <v>51</v>
      </c>
      <c r="B110" s="84" t="e" cm="1">
        <f t="array" ref="B110">INDEX('[10]Maintenance Plan'!$C$7:$K$568,A110,1)</f>
        <v>#REF!</v>
      </c>
      <c r="C110" s="85" t="e" cm="1">
        <f t="array" ref="C110">INDEX('[10]Maintenance Plan'!$C$7:$K$568,A110,3)</f>
        <v>#REF!</v>
      </c>
      <c r="D110" s="86" t="s">
        <v>6</v>
      </c>
      <c r="E110" s="87" t="e">
        <f>#REF!</f>
        <v>#REF!</v>
      </c>
      <c r="F110" s="88"/>
      <c r="G110" s="88"/>
      <c r="H110" s="89"/>
    </row>
    <row r="111" ht="15" customHeight="1">
      <c r="A111" s="90"/>
      <c r="B111" s="91"/>
      <c r="C111" s="92"/>
      <c r="D111" s="93"/>
      <c r="E111" s="94">
        <f>$J$2</f>
        <v>0</v>
      </c>
      <c r="F111" s="95"/>
      <c r="G111" s="96"/>
      <c r="H111" s="97"/>
    </row>
    <row r="112" ht="15" customHeight="1">
      <c r="A112" s="83">
        <v>52</v>
      </c>
      <c r="B112" s="84" t="e" cm="1">
        <f t="array" ref="B112">INDEX('[10]Maintenance Plan'!$C$7:$K$568,A112,1)</f>
        <v>#REF!</v>
      </c>
      <c r="C112" s="85" t="e" cm="1">
        <f t="array" ref="C112">INDEX('[10]Maintenance Plan'!$C$7:$K$568,A112,3)</f>
        <v>#REF!</v>
      </c>
      <c r="D112" s="86" t="s">
        <v>6</v>
      </c>
      <c r="E112" s="87" t="e">
        <f>#REF!</f>
        <v>#REF!</v>
      </c>
      <c r="F112" s="88"/>
      <c r="G112" s="88"/>
      <c r="H112" s="89"/>
    </row>
    <row r="113" ht="15" customHeight="1">
      <c r="A113" s="90"/>
      <c r="B113" s="91"/>
      <c r="C113" s="92"/>
      <c r="D113" s="93"/>
      <c r="E113" s="94">
        <f>$J$2</f>
        <v>0</v>
      </c>
      <c r="F113" s="95"/>
      <c r="G113" s="96"/>
      <c r="H113" s="97"/>
    </row>
    <row r="114" ht="15" customHeight="1">
      <c r="A114" s="83">
        <v>53</v>
      </c>
      <c r="B114" s="84" t="e" cm="1">
        <f t="array" ref="B114">INDEX('[10]Maintenance Plan'!$C$7:$K$568,A114,1)</f>
        <v>#REF!</v>
      </c>
      <c r="C114" s="85" t="e" cm="1">
        <f t="array" ref="C114">INDEX('[10]Maintenance Plan'!$C$7:$K$568,A114,3)</f>
        <v>#REF!</v>
      </c>
      <c r="D114" s="86" t="s">
        <v>6</v>
      </c>
      <c r="E114" s="87" t="e">
        <f>#REF!</f>
        <v>#REF!</v>
      </c>
      <c r="F114" s="88"/>
      <c r="G114" s="88"/>
      <c r="H114" s="89"/>
    </row>
    <row r="115" ht="15" customHeight="1">
      <c r="A115" s="90"/>
      <c r="B115" s="91"/>
      <c r="C115" s="92"/>
      <c r="D115" s="93"/>
      <c r="E115" s="94">
        <f>$J$2</f>
        <v>0</v>
      </c>
      <c r="F115" s="95"/>
      <c r="G115" s="96"/>
      <c r="H115" s="97"/>
    </row>
    <row r="116" ht="15" customHeight="1">
      <c r="A116" s="83">
        <v>54</v>
      </c>
      <c r="B116" s="84" t="e" cm="1">
        <f t="array" ref="B116">INDEX('[10]Maintenance Plan'!$C$7:$K$568,A116,1)</f>
        <v>#REF!</v>
      </c>
      <c r="C116" s="85" t="e" cm="1">
        <f t="array" ref="C116">INDEX('[10]Maintenance Plan'!$C$7:$K$568,A116,3)</f>
        <v>#REF!</v>
      </c>
      <c r="D116" s="86" t="s">
        <v>6</v>
      </c>
      <c r="E116" s="87" t="e">
        <f>#REF!</f>
        <v>#REF!</v>
      </c>
      <c r="F116" s="88"/>
      <c r="G116" s="88"/>
      <c r="H116" s="89"/>
    </row>
    <row r="117" ht="15" customHeight="1">
      <c r="A117" s="90"/>
      <c r="B117" s="91"/>
      <c r="C117" s="92"/>
      <c r="D117" s="93"/>
      <c r="E117" s="94">
        <f>$J$2</f>
        <v>0</v>
      </c>
      <c r="F117" s="95"/>
      <c r="G117" s="96"/>
      <c r="H117" s="97"/>
    </row>
    <row r="118" ht="15" customHeight="1">
      <c r="A118" s="83">
        <v>55</v>
      </c>
      <c r="B118" s="84" t="e" cm="1">
        <f t="array" ref="B118">INDEX('[10]Maintenance Plan'!$C$7:$K$568,A118,1)</f>
        <v>#REF!</v>
      </c>
      <c r="C118" s="85" t="e" cm="1">
        <f t="array" ref="C118">INDEX('[10]Maintenance Plan'!$C$7:$K$568,A118,3)</f>
        <v>#REF!</v>
      </c>
      <c r="D118" s="86" t="s">
        <v>6</v>
      </c>
      <c r="E118" s="87" t="e">
        <f>#REF!</f>
        <v>#REF!</v>
      </c>
      <c r="F118" s="88"/>
      <c r="G118" s="88"/>
      <c r="H118" s="89"/>
    </row>
    <row r="119" ht="15" customHeight="1">
      <c r="A119" s="90"/>
      <c r="B119" s="91"/>
      <c r="C119" s="92"/>
      <c r="D119" s="93"/>
      <c r="E119" s="94">
        <f>$J$2</f>
        <v>0</v>
      </c>
      <c r="F119" s="95"/>
      <c r="G119" s="96"/>
      <c r="H119" s="97"/>
    </row>
    <row r="120" ht="15" customHeight="1">
      <c r="A120" s="83">
        <v>56</v>
      </c>
      <c r="B120" s="84" t="e" cm="1">
        <f t="array" ref="B120">INDEX('[10]Maintenance Plan'!$C$7:$K$568,A120,1)</f>
        <v>#REF!</v>
      </c>
      <c r="C120" s="85" t="e" cm="1">
        <f t="array" ref="C120">INDEX('[10]Maintenance Plan'!$C$7:$K$568,A120,3)</f>
        <v>#REF!</v>
      </c>
      <c r="D120" s="86" t="s">
        <v>6</v>
      </c>
      <c r="E120" s="87" t="e">
        <f>#REF!</f>
        <v>#REF!</v>
      </c>
      <c r="F120" s="88"/>
      <c r="G120" s="88"/>
      <c r="H120" s="89"/>
    </row>
    <row r="121" ht="15" customHeight="1">
      <c r="A121" s="90"/>
      <c r="B121" s="91"/>
      <c r="C121" s="92"/>
      <c r="D121" s="93"/>
      <c r="E121" s="94">
        <f>$J$2</f>
        <v>0</v>
      </c>
      <c r="F121" s="95"/>
      <c r="G121" s="96"/>
      <c r="H121" s="97"/>
    </row>
    <row r="122" ht="15" customHeight="1">
      <c r="A122" s="83">
        <v>57</v>
      </c>
      <c r="B122" s="84" t="e" cm="1">
        <f t="array" ref="B122">INDEX('[10]Maintenance Plan'!$C$7:$K$568,A122,1)</f>
        <v>#REF!</v>
      </c>
      <c r="C122" s="85" t="e" cm="1">
        <f t="array" ref="C122">INDEX('[10]Maintenance Plan'!$C$7:$K$568,A122,3)</f>
        <v>#REF!</v>
      </c>
      <c r="D122" s="86" t="s">
        <v>6</v>
      </c>
      <c r="E122" s="87" t="e">
        <f>#REF!</f>
        <v>#REF!</v>
      </c>
      <c r="F122" s="88"/>
      <c r="G122" s="88"/>
      <c r="H122" s="89"/>
    </row>
    <row r="123" ht="15" customHeight="1">
      <c r="A123" s="90"/>
      <c r="B123" s="91"/>
      <c r="C123" s="92"/>
      <c r="D123" s="93"/>
      <c r="E123" s="94">
        <f>$J$2</f>
        <v>0</v>
      </c>
      <c r="F123" s="95"/>
      <c r="G123" s="96"/>
      <c r="H123" s="97"/>
    </row>
    <row r="124" ht="15" customHeight="1">
      <c r="A124" s="83">
        <v>58</v>
      </c>
      <c r="B124" s="84" t="e" cm="1">
        <f t="array" ref="B124">INDEX('[10]Maintenance Plan'!$C$7:$K$568,A124,1)</f>
        <v>#REF!</v>
      </c>
      <c r="C124" s="85" t="e" cm="1">
        <f t="array" ref="C124">INDEX('[10]Maintenance Plan'!$C$7:$K$568,A124,3)</f>
        <v>#REF!</v>
      </c>
      <c r="D124" s="86" t="s">
        <v>6</v>
      </c>
      <c r="E124" s="87" t="e">
        <f>#REF!</f>
        <v>#REF!</v>
      </c>
      <c r="F124" s="88"/>
      <c r="G124" s="88"/>
      <c r="H124" s="89"/>
    </row>
    <row r="125" ht="15" customHeight="1">
      <c r="A125" s="90"/>
      <c r="B125" s="91"/>
      <c r="C125" s="92"/>
      <c r="D125" s="93"/>
      <c r="E125" s="94">
        <f>$J$2</f>
        <v>0</v>
      </c>
      <c r="F125" s="95"/>
      <c r="G125" s="96"/>
      <c r="H125" s="97"/>
    </row>
    <row r="126" ht="15" customHeight="1">
      <c r="A126" s="83">
        <v>59</v>
      </c>
      <c r="B126" s="84" t="e" cm="1">
        <f t="array" ref="B126">INDEX('[10]Maintenance Plan'!$C$7:$K$568,A126,1)</f>
        <v>#REF!</v>
      </c>
      <c r="C126" s="85" t="e" cm="1">
        <f t="array" ref="C126">INDEX('[10]Maintenance Plan'!$C$7:$K$568,A126,3)</f>
        <v>#REF!</v>
      </c>
      <c r="D126" s="86" t="s">
        <v>6</v>
      </c>
      <c r="E126" s="87" t="e">
        <f>#REF!</f>
        <v>#REF!</v>
      </c>
      <c r="F126" s="88"/>
      <c r="G126" s="88"/>
      <c r="H126" s="89"/>
    </row>
    <row r="127" ht="15" customHeight="1">
      <c r="A127" s="90"/>
      <c r="B127" s="91"/>
      <c r="C127" s="92"/>
      <c r="D127" s="93"/>
      <c r="E127" s="94">
        <f>$J$2</f>
        <v>0</v>
      </c>
      <c r="F127" s="95"/>
      <c r="G127" s="96"/>
      <c r="H127" s="97"/>
    </row>
    <row r="128" ht="15" customHeight="1">
      <c r="A128" s="83">
        <v>60</v>
      </c>
      <c r="B128" s="84" t="e" cm="1">
        <f t="array" ref="B128">INDEX('[10]Maintenance Plan'!$C$7:$K$568,A128,1)</f>
        <v>#REF!</v>
      </c>
      <c r="C128" s="85" t="e" cm="1">
        <f t="array" ref="C128">INDEX('[10]Maintenance Plan'!$C$7:$K$568,A128,3)</f>
        <v>#REF!</v>
      </c>
      <c r="D128" s="86" t="s">
        <v>6</v>
      </c>
      <c r="E128" s="87" t="e">
        <f>#REF!</f>
        <v>#REF!</v>
      </c>
      <c r="F128" s="88"/>
      <c r="G128" s="88"/>
      <c r="H128" s="89"/>
    </row>
    <row r="129" ht="15" customHeight="1">
      <c r="A129" s="90"/>
      <c r="B129" s="91"/>
      <c r="C129" s="92"/>
      <c r="D129" s="93"/>
      <c r="E129" s="94">
        <f>$J$2</f>
        <v>0</v>
      </c>
      <c r="F129" s="95"/>
      <c r="G129" s="96"/>
      <c r="H129" s="97"/>
    </row>
    <row r="130" ht="15" customHeight="1">
      <c r="A130" s="83">
        <v>61</v>
      </c>
      <c r="B130" s="84" t="e" cm="1">
        <f t="array" ref="B130">INDEX('[10]Maintenance Plan'!$C$7:$K$568,A130,1)</f>
        <v>#REF!</v>
      </c>
      <c r="C130" s="85" t="e" cm="1">
        <f t="array" ref="C130">INDEX('[10]Maintenance Plan'!$C$7:$K$568,A130,3)</f>
        <v>#REF!</v>
      </c>
      <c r="D130" s="86" t="s">
        <v>6</v>
      </c>
      <c r="E130" s="87" t="e">
        <f>#REF!</f>
        <v>#REF!</v>
      </c>
      <c r="F130" s="88"/>
      <c r="G130" s="88"/>
      <c r="H130" s="89"/>
    </row>
    <row r="131" ht="15" customHeight="1">
      <c r="A131" s="90"/>
      <c r="B131" s="91"/>
      <c r="C131" s="92"/>
      <c r="D131" s="93"/>
      <c r="E131" s="94">
        <f>$J$2</f>
        <v>0</v>
      </c>
      <c r="F131" s="95"/>
      <c r="G131" s="96"/>
      <c r="H131" s="97"/>
    </row>
    <row r="132" ht="15" customHeight="1">
      <c r="A132" s="83">
        <v>62</v>
      </c>
      <c r="B132" s="84" t="e" cm="1">
        <f t="array" ref="B132">INDEX('[10]Maintenance Plan'!$C$7:$K$568,A132,1)</f>
        <v>#REF!</v>
      </c>
      <c r="C132" s="85" t="e" cm="1">
        <f t="array" ref="C132">INDEX('[10]Maintenance Plan'!$C$7:$K$568,A132,3)</f>
        <v>#REF!</v>
      </c>
      <c r="D132" s="86" t="s">
        <v>6</v>
      </c>
      <c r="E132" s="87" t="e">
        <f>#REF!</f>
        <v>#REF!</v>
      </c>
      <c r="F132" s="88"/>
      <c r="G132" s="88"/>
      <c r="H132" s="89"/>
    </row>
    <row r="133" ht="15" customHeight="1">
      <c r="A133" s="90"/>
      <c r="B133" s="91"/>
      <c r="C133" s="92"/>
      <c r="D133" s="93"/>
      <c r="E133" s="94">
        <f>$J$2</f>
        <v>0</v>
      </c>
      <c r="F133" s="95"/>
      <c r="G133" s="96"/>
      <c r="H133" s="97"/>
    </row>
    <row r="134" ht="15" customHeight="1">
      <c r="A134" s="83">
        <v>63</v>
      </c>
      <c r="B134" s="84" t="e" cm="1">
        <f t="array" ref="B134">INDEX('[10]Maintenance Plan'!$C$7:$K$568,A134,1)</f>
        <v>#REF!</v>
      </c>
      <c r="C134" s="85" t="e" cm="1">
        <f t="array" ref="C134">INDEX('[10]Maintenance Plan'!$C$7:$K$568,A134,3)</f>
        <v>#REF!</v>
      </c>
      <c r="D134" s="86" t="s">
        <v>6</v>
      </c>
      <c r="E134" s="87" t="e">
        <f>#REF!</f>
        <v>#REF!</v>
      </c>
      <c r="F134" s="88"/>
      <c r="G134" s="88"/>
      <c r="H134" s="89"/>
    </row>
    <row r="135" ht="15" customHeight="1">
      <c r="A135" s="90"/>
      <c r="B135" s="91"/>
      <c r="C135" s="92"/>
      <c r="D135" s="93"/>
      <c r="E135" s="94">
        <f>$J$2</f>
        <v>0</v>
      </c>
      <c r="F135" s="95"/>
      <c r="G135" s="96"/>
      <c r="H135" s="97"/>
    </row>
    <row r="136" ht="15" customHeight="1">
      <c r="A136" s="83">
        <v>64</v>
      </c>
      <c r="B136" s="84" t="e" cm="1">
        <f t="array" ref="B136">INDEX('[10]Maintenance Plan'!$C$7:$K$568,A136,1)</f>
        <v>#REF!</v>
      </c>
      <c r="C136" s="85" t="e" cm="1">
        <f t="array" ref="C136">INDEX('[10]Maintenance Plan'!$C$7:$K$568,A136,3)</f>
        <v>#REF!</v>
      </c>
      <c r="D136" s="86" t="s">
        <v>6</v>
      </c>
      <c r="E136" s="87" t="e">
        <f>#REF!</f>
        <v>#REF!</v>
      </c>
      <c r="F136" s="88"/>
      <c r="G136" s="88"/>
      <c r="H136" s="89"/>
    </row>
    <row r="137" ht="15" customHeight="1">
      <c r="A137" s="90"/>
      <c r="B137" s="91"/>
      <c r="C137" s="92"/>
      <c r="D137" s="93"/>
      <c r="E137" s="94">
        <f>$J$2</f>
        <v>0</v>
      </c>
      <c r="F137" s="95"/>
      <c r="G137" s="96"/>
      <c r="H137" s="97"/>
    </row>
    <row r="138" ht="15" customHeight="1">
      <c r="A138" s="83">
        <v>65</v>
      </c>
      <c r="B138" s="84" t="e" cm="1">
        <f t="array" ref="B138">INDEX('[10]Maintenance Plan'!$C$7:$K$568,A138,1)</f>
        <v>#REF!</v>
      </c>
      <c r="C138" s="85" t="e" cm="1">
        <f t="array" ref="C138">INDEX('[10]Maintenance Plan'!$C$7:$K$568,A138,3)</f>
        <v>#REF!</v>
      </c>
      <c r="D138" s="86" t="s">
        <v>6</v>
      </c>
      <c r="E138" s="87" t="e">
        <f>#REF!</f>
        <v>#REF!</v>
      </c>
      <c r="F138" s="88"/>
      <c r="G138" s="88"/>
      <c r="H138" s="89"/>
    </row>
    <row r="139" ht="15" customHeight="1">
      <c r="A139" s="90"/>
      <c r="B139" s="91"/>
      <c r="C139" s="92"/>
      <c r="D139" s="93"/>
      <c r="E139" s="94">
        <f>$J$2</f>
        <v>0</v>
      </c>
      <c r="F139" s="95"/>
      <c r="G139" s="96"/>
      <c r="H139" s="97"/>
    </row>
    <row r="140" ht="15" customHeight="1">
      <c r="A140" s="83">
        <v>66</v>
      </c>
      <c r="B140" s="84" t="e" cm="1">
        <f t="array" ref="B140">INDEX('[10]Maintenance Plan'!$C$7:$K$568,A140,1)</f>
        <v>#REF!</v>
      </c>
      <c r="C140" s="85" t="e" cm="1">
        <f t="array" ref="C140">INDEX('[10]Maintenance Plan'!$C$7:$K$568,A140,3)</f>
        <v>#REF!</v>
      </c>
      <c r="D140" s="86" t="s">
        <v>6</v>
      </c>
      <c r="E140" s="87" t="e">
        <f>#REF!</f>
        <v>#REF!</v>
      </c>
      <c r="F140" s="88"/>
      <c r="G140" s="88"/>
      <c r="H140" s="89"/>
    </row>
    <row r="141" ht="15" customHeight="1">
      <c r="A141" s="90"/>
      <c r="B141" s="91"/>
      <c r="C141" s="92"/>
      <c r="D141" s="93"/>
      <c r="E141" s="94">
        <f>$J$2</f>
        <v>0</v>
      </c>
      <c r="F141" s="95"/>
      <c r="G141" s="96"/>
      <c r="H141" s="97"/>
    </row>
    <row r="142" ht="15" customHeight="1">
      <c r="A142" s="83">
        <v>67</v>
      </c>
      <c r="B142" s="84" t="e" cm="1">
        <f t="array" ref="B142">INDEX('[10]Maintenance Plan'!$C$7:$K$568,A142,1)</f>
        <v>#REF!</v>
      </c>
      <c r="C142" s="85" t="e" cm="1">
        <f t="array" ref="C142">INDEX('[10]Maintenance Plan'!$C$7:$K$568,A142,3)</f>
        <v>#REF!</v>
      </c>
      <c r="D142" s="86" t="s">
        <v>6</v>
      </c>
      <c r="E142" s="87" t="e">
        <f>#REF!</f>
        <v>#REF!</v>
      </c>
      <c r="F142" s="88"/>
      <c r="G142" s="88"/>
      <c r="H142" s="89"/>
    </row>
    <row r="143" ht="15" customHeight="1">
      <c r="A143" s="90"/>
      <c r="B143" s="91"/>
      <c r="C143" s="92"/>
      <c r="D143" s="93"/>
      <c r="E143" s="94">
        <f>$J$2</f>
        <v>0</v>
      </c>
      <c r="F143" s="95"/>
      <c r="G143" s="96"/>
      <c r="H143" s="97"/>
    </row>
    <row r="144" ht="15" customHeight="1">
      <c r="A144" s="83">
        <v>68</v>
      </c>
      <c r="B144" s="84" t="e" cm="1">
        <f t="array" ref="B144">INDEX('[10]Maintenance Plan'!$C$7:$K$568,A144,1)</f>
        <v>#REF!</v>
      </c>
      <c r="C144" s="85" t="e" cm="1">
        <f t="array" ref="C144">INDEX('[10]Maintenance Plan'!$C$7:$K$568,A144,3)</f>
        <v>#REF!</v>
      </c>
      <c r="D144" s="86" t="s">
        <v>6</v>
      </c>
      <c r="E144" s="87" t="e">
        <f>#REF!</f>
        <v>#REF!</v>
      </c>
      <c r="F144" s="88"/>
      <c r="G144" s="88"/>
      <c r="H144" s="89"/>
    </row>
    <row r="145" ht="15" customHeight="1">
      <c r="A145" s="90"/>
      <c r="B145" s="91"/>
      <c r="C145" s="92"/>
      <c r="D145" s="93"/>
      <c r="E145" s="94">
        <f>$J$2</f>
        <v>0</v>
      </c>
      <c r="F145" s="95"/>
      <c r="G145" s="96"/>
      <c r="H145" s="97"/>
    </row>
    <row r="146" s="5" customFormat="1" ht="15.9">
      <c r="A146" s="83">
        <v>69</v>
      </c>
      <c r="B146" s="84" t="e" cm="1">
        <f t="array" ref="B146">INDEX('[10]Maintenance Plan'!$C$7:$K$568,A146,1)</f>
        <v>#REF!</v>
      </c>
      <c r="C146" s="85" t="e" cm="1">
        <f t="array" ref="C146">INDEX('[10]Maintenance Plan'!$C$7:$K$568,A146,3)</f>
        <v>#REF!</v>
      </c>
      <c r="D146" s="86" t="s">
        <v>6</v>
      </c>
      <c r="E146" s="87" t="e">
        <f>#REF!</f>
        <v>#REF!</v>
      </c>
      <c r="F146" s="88"/>
      <c r="G146" s="88"/>
      <c r="H146" s="89"/>
      <c r="J146" s="77"/>
    </row>
    <row r="147" s="5" customFormat="1" ht="15.9">
      <c r="A147" s="90"/>
      <c r="B147" s="91"/>
      <c r="C147" s="92"/>
      <c r="D147" s="93"/>
      <c r="E147" s="94">
        <f>$J$2</f>
        <v>0</v>
      </c>
      <c r="F147" s="95"/>
      <c r="G147" s="96"/>
      <c r="H147" s="97"/>
      <c r="J147" s="77"/>
    </row>
    <row r="148" s="5" customFormat="1" ht="15.9">
      <c r="A148" s="83">
        <v>70</v>
      </c>
      <c r="B148" s="84" t="e" cm="1">
        <f t="array" ref="B148">INDEX('[10]Maintenance Plan'!$C$7:$K$568,A148,1)</f>
        <v>#REF!</v>
      </c>
      <c r="C148" s="85" t="e" cm="1">
        <f t="array" ref="C148">INDEX('[10]Maintenance Plan'!$C$7:$K$568,A148,3)</f>
        <v>#REF!</v>
      </c>
      <c r="D148" s="86" t="s">
        <v>6</v>
      </c>
      <c r="E148" s="87" t="e">
        <f>#REF!</f>
        <v>#REF!</v>
      </c>
      <c r="F148" s="88"/>
      <c r="G148" s="88"/>
      <c r="H148" s="89"/>
      <c r="J148" s="77"/>
    </row>
    <row r="149" s="5" customFormat="1" ht="15.9">
      <c r="A149" s="90"/>
      <c r="B149" s="91"/>
      <c r="C149" s="92"/>
      <c r="D149" s="93"/>
      <c r="E149" s="94">
        <f>$J$2</f>
        <v>0</v>
      </c>
      <c r="F149" s="95"/>
      <c r="G149" s="96"/>
      <c r="H149" s="97"/>
      <c r="J149" s="77"/>
    </row>
    <row r="150" s="5" customFormat="1" ht="15.9">
      <c r="A150" s="83">
        <v>71</v>
      </c>
      <c r="B150" s="84" t="e" cm="1">
        <f t="array" ref="B150">INDEX('[10]Maintenance Plan'!$C$7:$K$568,A150,1)</f>
        <v>#REF!</v>
      </c>
      <c r="C150" s="85" t="e" cm="1">
        <f t="array" ref="C150">INDEX('[10]Maintenance Plan'!$C$7:$K$568,A150,3)</f>
        <v>#REF!</v>
      </c>
      <c r="D150" s="86" t="s">
        <v>6</v>
      </c>
      <c r="E150" s="87" t="e">
        <f>#REF!</f>
        <v>#REF!</v>
      </c>
      <c r="F150" s="88"/>
      <c r="G150" s="88"/>
      <c r="H150" s="89"/>
      <c r="J150" s="77"/>
    </row>
    <row r="151" s="5" customFormat="1" ht="15.9">
      <c r="A151" s="90"/>
      <c r="B151" s="91"/>
      <c r="C151" s="92"/>
      <c r="D151" s="93"/>
      <c r="E151" s="94">
        <f>$J$2</f>
        <v>0</v>
      </c>
      <c r="F151" s="95"/>
      <c r="G151" s="96"/>
      <c r="H151" s="97"/>
      <c r="J151" s="77"/>
    </row>
    <row r="152" s="5" customFormat="1" ht="15.9">
      <c r="A152" s="83">
        <v>72</v>
      </c>
      <c r="B152" s="84" t="e" cm="1">
        <f t="array" ref="B152">INDEX('[10]Maintenance Plan'!$C$7:$K$568,A152,1)</f>
        <v>#REF!</v>
      </c>
      <c r="C152" s="85" t="e" cm="1">
        <f t="array" ref="C152">INDEX('[10]Maintenance Plan'!$C$7:$K$568,A152,3)</f>
        <v>#REF!</v>
      </c>
      <c r="D152" s="86" t="s">
        <v>6</v>
      </c>
      <c r="E152" s="87" t="e">
        <f>#REF!</f>
        <v>#REF!</v>
      </c>
      <c r="F152" s="88"/>
      <c r="G152" s="88"/>
      <c r="H152" s="89"/>
      <c r="J152" s="77"/>
    </row>
    <row r="153" s="5" customFormat="1" ht="15.9">
      <c r="A153" s="90"/>
      <c r="B153" s="91"/>
      <c r="C153" s="92"/>
      <c r="D153" s="93"/>
      <c r="E153" s="94">
        <f>$J$2</f>
        <v>0</v>
      </c>
      <c r="F153" s="95"/>
      <c r="G153" s="96"/>
      <c r="H153" s="97"/>
      <c r="J153" s="77"/>
    </row>
    <row r="154" s="5" customFormat="1" ht="15.9">
      <c r="A154" s="83">
        <v>73</v>
      </c>
      <c r="B154" s="84" t="e" cm="1">
        <f t="array" ref="B154">INDEX('[10]Maintenance Plan'!$C$7:$K$568,A154,1)</f>
        <v>#REF!</v>
      </c>
      <c r="C154" s="85" t="e" cm="1">
        <f t="array" ref="C154">INDEX('[10]Maintenance Plan'!$C$7:$K$568,A154,3)</f>
        <v>#REF!</v>
      </c>
      <c r="D154" s="86" t="s">
        <v>6</v>
      </c>
      <c r="E154" s="87" t="e">
        <f>#REF!</f>
        <v>#REF!</v>
      </c>
      <c r="F154" s="88"/>
      <c r="G154" s="88"/>
      <c r="H154" s="89"/>
      <c r="J154" s="77"/>
    </row>
    <row r="155" s="5" customFormat="1" ht="15.9">
      <c r="A155" s="90"/>
      <c r="B155" s="91"/>
      <c r="C155" s="92"/>
      <c r="D155" s="93"/>
      <c r="E155" s="94">
        <f>$J$2</f>
        <v>0</v>
      </c>
      <c r="F155" s="95"/>
      <c r="G155" s="96"/>
      <c r="H155" s="97"/>
      <c r="J155" s="77"/>
    </row>
    <row r="156" s="5" customFormat="1" ht="15.9">
      <c r="A156" s="83">
        <v>74</v>
      </c>
      <c r="B156" s="84" t="e" cm="1">
        <f t="array" ref="B156">INDEX('[10]Maintenance Plan'!$C$7:$K$568,A156,1)</f>
        <v>#REF!</v>
      </c>
      <c r="C156" s="85" t="e" cm="1">
        <f t="array" ref="C156">INDEX('[10]Maintenance Plan'!$C$7:$K$568,A156,3)</f>
        <v>#REF!</v>
      </c>
      <c r="D156" s="86" t="s">
        <v>6</v>
      </c>
      <c r="E156" s="87" t="e">
        <f>#REF!</f>
        <v>#REF!</v>
      </c>
      <c r="F156" s="88"/>
      <c r="G156" s="88"/>
      <c r="H156" s="89"/>
      <c r="J156" s="77"/>
    </row>
    <row r="157" s="5" customFormat="1" ht="15.9">
      <c r="A157" s="90"/>
      <c r="B157" s="91"/>
      <c r="C157" s="92"/>
      <c r="D157" s="93"/>
      <c r="E157" s="94">
        <f>$J$2</f>
        <v>0</v>
      </c>
      <c r="F157" s="95"/>
      <c r="G157" s="96"/>
      <c r="H157" s="97"/>
      <c r="J157" s="77"/>
    </row>
    <row r="158" s="5" customFormat="1" ht="15.9">
      <c r="A158" s="83">
        <v>75</v>
      </c>
      <c r="B158" s="84" t="e" cm="1">
        <f t="array" ref="B158">INDEX('[10]Maintenance Plan'!$C$7:$K$568,A158,1)</f>
        <v>#REF!</v>
      </c>
      <c r="C158" s="85" t="e" cm="1">
        <f t="array" ref="C158">INDEX('[10]Maintenance Plan'!$C$7:$K$568,A158,3)</f>
        <v>#REF!</v>
      </c>
      <c r="D158" s="86" t="s">
        <v>6</v>
      </c>
      <c r="E158" s="87" t="e">
        <f>#REF!</f>
        <v>#REF!</v>
      </c>
      <c r="F158" s="88"/>
      <c r="G158" s="88"/>
      <c r="H158" s="89"/>
      <c r="J158" s="77"/>
    </row>
    <row r="159" s="5" customFormat="1" ht="15.9">
      <c r="A159" s="90"/>
      <c r="B159" s="91"/>
      <c r="C159" s="92"/>
      <c r="D159" s="93"/>
      <c r="E159" s="94">
        <f>$J$2</f>
        <v>0</v>
      </c>
      <c r="F159" s="95"/>
      <c r="G159" s="96"/>
      <c r="H159" s="97"/>
      <c r="J159" s="77"/>
    </row>
    <row r="160" s="5" customFormat="1" ht="15.9">
      <c r="A160" s="83">
        <v>76</v>
      </c>
      <c r="B160" s="84" t="e" cm="1">
        <f t="array" ref="B160">INDEX('[10]Maintenance Plan'!$C$7:$K$568,A160,1)</f>
        <v>#REF!</v>
      </c>
      <c r="C160" s="85" t="e" cm="1">
        <f t="array" ref="C160">INDEX('[10]Maintenance Plan'!$C$7:$K$568,A160,3)</f>
        <v>#REF!</v>
      </c>
      <c r="D160" s="86" t="s">
        <v>6</v>
      </c>
      <c r="E160" s="87" t="e">
        <f>#REF!</f>
        <v>#REF!</v>
      </c>
      <c r="F160" s="88"/>
      <c r="G160" s="88"/>
      <c r="H160" s="89"/>
      <c r="J160" s="77"/>
    </row>
    <row r="161" s="5" customFormat="1" ht="15.9">
      <c r="A161" s="90"/>
      <c r="B161" s="91"/>
      <c r="C161" s="92"/>
      <c r="D161" s="93"/>
      <c r="E161" s="94">
        <f>$J$2</f>
        <v>0</v>
      </c>
      <c r="F161" s="95"/>
      <c r="G161" s="96"/>
      <c r="H161" s="97"/>
      <c r="J161" s="77"/>
    </row>
    <row r="162" s="5" customFormat="1" ht="15.9">
      <c r="A162" s="83">
        <v>77</v>
      </c>
      <c r="B162" s="84" t="e" cm="1">
        <f t="array" ref="B162">INDEX('[10]Maintenance Plan'!$C$7:$K$568,A162,1)</f>
        <v>#REF!</v>
      </c>
      <c r="C162" s="85" t="e" cm="1">
        <f t="array" ref="C162">INDEX('[10]Maintenance Plan'!$C$7:$K$568,A162,3)</f>
        <v>#REF!</v>
      </c>
      <c r="D162" s="86" t="s">
        <v>6</v>
      </c>
      <c r="E162" s="87" t="e">
        <f>#REF!</f>
        <v>#REF!</v>
      </c>
      <c r="F162" s="88"/>
      <c r="G162" s="88"/>
      <c r="H162" s="89"/>
      <c r="J162" s="77"/>
    </row>
    <row r="163" s="5" customFormat="1" ht="15.9">
      <c r="A163" s="90"/>
      <c r="B163" s="91"/>
      <c r="C163" s="92"/>
      <c r="D163" s="93"/>
      <c r="E163" s="94">
        <f>$J$2</f>
        <v>0</v>
      </c>
      <c r="F163" s="95"/>
      <c r="G163" s="96"/>
      <c r="H163" s="97"/>
      <c r="J163" s="77"/>
    </row>
    <row r="164" s="5" customFormat="1" ht="15.9">
      <c r="A164" s="83">
        <v>78</v>
      </c>
      <c r="B164" s="84" t="e" cm="1">
        <f t="array" ref="B164">INDEX('[10]Maintenance Plan'!$C$7:$K$568,A164,1)</f>
        <v>#REF!</v>
      </c>
      <c r="C164" s="85" t="e" cm="1">
        <f t="array" ref="C164">INDEX('[10]Maintenance Plan'!$C$7:$K$568,A164,3)</f>
        <v>#REF!</v>
      </c>
      <c r="D164" s="86" t="s">
        <v>6</v>
      </c>
      <c r="E164" s="87" t="e">
        <f>#REF!</f>
        <v>#REF!</v>
      </c>
      <c r="F164" s="88"/>
      <c r="G164" s="88"/>
      <c r="H164" s="89"/>
      <c r="J164" s="77"/>
    </row>
    <row r="165" s="5" customFormat="1" ht="15.9">
      <c r="A165" s="90"/>
      <c r="B165" s="91"/>
      <c r="C165" s="92"/>
      <c r="D165" s="93"/>
      <c r="E165" s="94">
        <f>$J$2</f>
        <v>0</v>
      </c>
      <c r="F165" s="95"/>
      <c r="G165" s="96"/>
      <c r="H165" s="97"/>
      <c r="J165" s="77"/>
    </row>
    <row r="166" s="5" customFormat="1" ht="15.9">
      <c r="A166" s="83">
        <v>79</v>
      </c>
      <c r="B166" s="84" t="e" cm="1">
        <f t="array" ref="B166">INDEX('[10]Maintenance Plan'!$C$7:$K$568,A166,1)</f>
        <v>#REF!</v>
      </c>
      <c r="C166" s="85" t="e" cm="1">
        <f t="array" ref="C166">INDEX('[10]Maintenance Plan'!$C$7:$K$568,A166,3)</f>
        <v>#REF!</v>
      </c>
      <c r="D166" s="86" t="s">
        <v>6</v>
      </c>
      <c r="E166" s="87" t="e">
        <f>#REF!</f>
        <v>#REF!</v>
      </c>
      <c r="F166" s="88"/>
      <c r="G166" s="88"/>
      <c r="H166" s="89"/>
      <c r="J166" s="77"/>
    </row>
    <row r="167" s="5" customFormat="1" ht="15.9">
      <c r="A167" s="90"/>
      <c r="B167" s="91"/>
      <c r="C167" s="92"/>
      <c r="D167" s="93"/>
      <c r="E167" s="94">
        <f>$J$2</f>
        <v>0</v>
      </c>
      <c r="F167" s="95"/>
      <c r="G167" s="96"/>
      <c r="H167" s="97"/>
      <c r="J167" s="77"/>
    </row>
    <row r="168" s="5" customFormat="1" ht="15.9">
      <c r="A168" s="83">
        <v>80</v>
      </c>
      <c r="B168" s="84" t="e" cm="1">
        <f t="array" ref="B168">INDEX('[10]Maintenance Plan'!$C$7:$K$568,A168,1)</f>
        <v>#REF!</v>
      </c>
      <c r="C168" s="85" t="e" cm="1">
        <f t="array" ref="C168">INDEX('[10]Maintenance Plan'!$C$7:$K$568,A168,3)</f>
        <v>#REF!</v>
      </c>
      <c r="D168" s="86" t="s">
        <v>6</v>
      </c>
      <c r="E168" s="87" t="e">
        <f>#REF!</f>
        <v>#REF!</v>
      </c>
      <c r="F168" s="88"/>
      <c r="G168" s="88"/>
      <c r="H168" s="89"/>
      <c r="J168" s="77"/>
    </row>
    <row r="169" s="5" customFormat="1" ht="15.9">
      <c r="A169" s="90"/>
      <c r="B169" s="91"/>
      <c r="C169" s="92"/>
      <c r="D169" s="93"/>
      <c r="E169" s="94">
        <f>$J$2</f>
        <v>0</v>
      </c>
      <c r="F169" s="95"/>
      <c r="G169" s="96"/>
      <c r="H169" s="97"/>
      <c r="J169" s="77"/>
    </row>
    <row r="170" s="5" customFormat="1" ht="15.9">
      <c r="A170" s="83">
        <v>81</v>
      </c>
      <c r="B170" s="84" t="e" cm="1">
        <f t="array" ref="B170">INDEX('[10]Maintenance Plan'!$C$7:$K$568,A170,1)</f>
        <v>#REF!</v>
      </c>
      <c r="C170" s="85" t="e" cm="1">
        <f t="array" ref="C170">INDEX('[10]Maintenance Plan'!$C$7:$K$568,A170,3)</f>
        <v>#REF!</v>
      </c>
      <c r="D170" s="86" t="s">
        <v>6</v>
      </c>
      <c r="E170" s="87" t="e">
        <f>#REF!</f>
        <v>#REF!</v>
      </c>
      <c r="F170" s="88"/>
      <c r="G170" s="88"/>
      <c r="H170" s="89"/>
      <c r="J170" s="77"/>
    </row>
    <row r="171" s="5" customFormat="1" ht="15.9">
      <c r="A171" s="90"/>
      <c r="B171" s="91"/>
      <c r="C171" s="92"/>
      <c r="D171" s="93"/>
      <c r="E171" s="94">
        <f>$J$2</f>
        <v>0</v>
      </c>
      <c r="F171" s="95"/>
      <c r="G171" s="96"/>
      <c r="H171" s="97"/>
      <c r="J171" s="77"/>
    </row>
    <row r="172" s="5" customFormat="1" ht="15.9">
      <c r="A172" s="83">
        <v>82</v>
      </c>
      <c r="B172" s="84" t="e" cm="1">
        <f t="array" ref="B172">INDEX('[10]Maintenance Plan'!$C$7:$K$568,A172,1)</f>
        <v>#REF!</v>
      </c>
      <c r="C172" s="85" t="e" cm="1">
        <f t="array" ref="C172">INDEX('[10]Maintenance Plan'!$C$7:$K$568,A172,3)</f>
        <v>#REF!</v>
      </c>
      <c r="D172" s="86" t="s">
        <v>6</v>
      </c>
      <c r="E172" s="87" t="e">
        <f>#REF!</f>
        <v>#REF!</v>
      </c>
      <c r="F172" s="88"/>
      <c r="G172" s="88"/>
      <c r="H172" s="89"/>
      <c r="J172" s="77"/>
    </row>
    <row r="173" s="5" customFormat="1" ht="15.9">
      <c r="A173" s="90"/>
      <c r="B173" s="91"/>
      <c r="C173" s="92"/>
      <c r="D173" s="93"/>
      <c r="E173" s="94">
        <f>$J$2</f>
        <v>0</v>
      </c>
      <c r="F173" s="95"/>
      <c r="G173" s="96"/>
      <c r="H173" s="97"/>
      <c r="J173" s="77"/>
    </row>
    <row r="174" s="5" customFormat="1" ht="15.9">
      <c r="A174" s="83">
        <v>83</v>
      </c>
      <c r="B174" s="84" t="e" cm="1">
        <f t="array" ref="B174">INDEX('[10]Maintenance Plan'!$C$7:$K$568,A174,1)</f>
        <v>#REF!</v>
      </c>
      <c r="C174" s="85" t="e" cm="1">
        <f t="array" ref="C174">INDEX('[10]Maintenance Plan'!$C$7:$K$568,A174,3)</f>
        <v>#REF!</v>
      </c>
      <c r="D174" s="86" t="s">
        <v>6</v>
      </c>
      <c r="E174" s="87" t="e">
        <f>#REF!</f>
        <v>#REF!</v>
      </c>
      <c r="F174" s="88"/>
      <c r="G174" s="88"/>
      <c r="H174" s="89"/>
      <c r="J174" s="77"/>
    </row>
    <row r="175" s="5" customFormat="1" ht="15.9">
      <c r="A175" s="90"/>
      <c r="B175" s="91"/>
      <c r="C175" s="92"/>
      <c r="D175" s="93"/>
      <c r="E175" s="94">
        <f>$J$2</f>
        <v>0</v>
      </c>
      <c r="F175" s="95"/>
      <c r="G175" s="96"/>
      <c r="H175" s="97"/>
      <c r="J175" s="77"/>
    </row>
    <row r="176" s="5" customFormat="1" ht="15.9">
      <c r="A176" s="83">
        <v>84</v>
      </c>
      <c r="B176" s="84" t="e" cm="1">
        <f t="array" ref="B176">INDEX('[10]Maintenance Plan'!$C$7:$K$568,A176,1)</f>
        <v>#REF!</v>
      </c>
      <c r="C176" s="85" t="e" cm="1">
        <f t="array" ref="C176">INDEX('[10]Maintenance Plan'!$C$7:$K$568,A176,3)</f>
        <v>#REF!</v>
      </c>
      <c r="D176" s="86" t="s">
        <v>6</v>
      </c>
      <c r="E176" s="87" t="e">
        <f>#REF!</f>
        <v>#REF!</v>
      </c>
      <c r="F176" s="88"/>
      <c r="G176" s="88"/>
      <c r="H176" s="89"/>
      <c r="J176" s="77"/>
    </row>
    <row r="177" s="5" customFormat="1" ht="15.9">
      <c r="A177" s="90"/>
      <c r="B177" s="91"/>
      <c r="C177" s="92"/>
      <c r="D177" s="93"/>
      <c r="E177" s="94">
        <f>$J$2</f>
        <v>0</v>
      </c>
      <c r="F177" s="95"/>
      <c r="G177" s="96"/>
      <c r="H177" s="97"/>
      <c r="J177" s="77"/>
    </row>
    <row r="178" s="5" customFormat="1">
      <c r="B178" s="77"/>
      <c r="J178" s="77"/>
    </row>
    <row r="179" s="5" customFormat="1">
      <c r="B179" s="77"/>
      <c r="J179" s="77"/>
    </row>
    <row r="180" s="5" customFormat="1">
      <c r="B180" s="77"/>
      <c r="J180" s="77"/>
    </row>
    <row r="181" s="5" customFormat="1">
      <c r="B181" s="77"/>
      <c r="J181" s="77"/>
    </row>
    <row r="182" s="5" customFormat="1">
      <c r="B182" s="77"/>
      <c r="J182" s="77"/>
    </row>
    <row r="183" s="5" customFormat="1">
      <c r="B183" s="77"/>
      <c r="J183" s="77"/>
    </row>
    <row r="184" s="5" customFormat="1">
      <c r="B184" s="77"/>
      <c r="J184" s="77"/>
    </row>
    <row r="185" s="5" customFormat="1">
      <c r="B185" s="77"/>
      <c r="J185" s="77"/>
    </row>
    <row r="186" s="5" customFormat="1">
      <c r="B186" s="77"/>
      <c r="J186" s="77"/>
    </row>
    <row r="187" s="5" customFormat="1">
      <c r="B187" s="77"/>
      <c r="J187" s="77"/>
    </row>
    <row r="188" s="5" customFormat="1">
      <c r="B188" s="77"/>
      <c r="J188" s="77"/>
    </row>
    <row r="189" s="5" customFormat="1">
      <c r="B189" s="77"/>
      <c r="J189" s="77"/>
    </row>
    <row r="190" s="5" customFormat="1">
      <c r="B190" s="77"/>
      <c r="J190" s="77"/>
    </row>
    <row r="191" s="5" customFormat="1">
      <c r="B191" s="77"/>
      <c r="J191" s="77"/>
    </row>
    <row r="192" s="5" customFormat="1">
      <c r="B192" s="77"/>
      <c r="J192" s="77"/>
    </row>
    <row r="193" s="5" customFormat="1">
      <c r="B193" s="77"/>
      <c r="J193" s="77"/>
    </row>
    <row r="194" s="5" customFormat="1">
      <c r="B194" s="77"/>
      <c r="J194" s="77"/>
    </row>
    <row r="195" s="5" customFormat="1">
      <c r="B195" s="77"/>
      <c r="J195" s="77"/>
    </row>
    <row r="196" s="5" customFormat="1">
      <c r="B196" s="77"/>
      <c r="J196" s="77"/>
    </row>
    <row r="197" s="5" customFormat="1">
      <c r="B197" s="77"/>
      <c r="J197" s="77"/>
    </row>
    <row r="198" s="5" customFormat="1">
      <c r="B198" s="77"/>
      <c r="J198" s="77"/>
    </row>
    <row r="199" s="5" customFormat="1">
      <c r="B199" s="77"/>
      <c r="J199" s="77"/>
    </row>
    <row r="200" s="5" customFormat="1">
      <c r="B200" s="77"/>
      <c r="J200" s="77"/>
    </row>
    <row r="201" s="5" customFormat="1">
      <c r="B201" s="77"/>
      <c r="J201" s="77"/>
    </row>
    <row r="202" s="5" customFormat="1">
      <c r="B202" s="77"/>
      <c r="J202" s="77"/>
    </row>
    <row r="203" s="5" customFormat="1">
      <c r="B203" s="77"/>
      <c r="J203" s="77"/>
    </row>
    <row r="204" s="5" customFormat="1">
      <c r="B204" s="77"/>
      <c r="J204" s="77"/>
    </row>
    <row r="205" s="5" customFormat="1">
      <c r="B205" s="77"/>
      <c r="J205" s="77"/>
    </row>
    <row r="206" s="5" customFormat="1">
      <c r="B206" s="77"/>
      <c r="J206" s="77"/>
    </row>
    <row r="207" s="5" customFormat="1">
      <c r="B207" s="77"/>
      <c r="J207" s="77"/>
    </row>
    <row r="208" s="5" customFormat="1">
      <c r="B208" s="77"/>
      <c r="J208" s="77"/>
    </row>
    <row r="209" s="5" customFormat="1">
      <c r="B209" s="77"/>
      <c r="J209" s="77"/>
    </row>
    <row r="210" s="5" customFormat="1">
      <c r="B210" s="77"/>
      <c r="J210" s="77"/>
    </row>
    <row r="211" s="5" customFormat="1">
      <c r="B211" s="77"/>
      <c r="J211" s="77"/>
    </row>
    <row r="212" s="5" customFormat="1">
      <c r="B212" s="77"/>
      <c r="J212" s="77"/>
    </row>
    <row r="213" s="5" customFormat="1">
      <c r="B213" s="77"/>
      <c r="J213" s="77"/>
    </row>
    <row r="214" s="5" customFormat="1">
      <c r="B214" s="77"/>
      <c r="J214" s="77"/>
    </row>
    <row r="215" s="5" customFormat="1">
      <c r="B215" s="77"/>
      <c r="J215" s="77"/>
    </row>
    <row r="216" s="5" customFormat="1">
      <c r="B216" s="77"/>
      <c r="J216" s="77"/>
    </row>
    <row r="217" s="5" customFormat="1">
      <c r="B217" s="77"/>
      <c r="J217" s="77"/>
    </row>
    <row r="218" s="5" customFormat="1">
      <c r="B218" s="77"/>
      <c r="J218" s="77"/>
    </row>
    <row r="219" s="5" customFormat="1">
      <c r="B219" s="77"/>
      <c r="J219" s="77"/>
    </row>
    <row r="220" s="5" customFormat="1">
      <c r="B220" s="77"/>
      <c r="J220" s="77"/>
    </row>
    <row r="221" s="5" customFormat="1">
      <c r="B221" s="77"/>
      <c r="J221" s="77"/>
    </row>
    <row r="222" s="5" customFormat="1">
      <c r="B222" s="77"/>
      <c r="J222" s="77"/>
    </row>
    <row r="223" s="5" customFormat="1">
      <c r="B223" s="77"/>
      <c r="J223" s="77"/>
    </row>
    <row r="224" s="5" customFormat="1">
      <c r="B224" s="77"/>
      <c r="J224" s="77"/>
    </row>
    <row r="225" s="5" customFormat="1">
      <c r="B225" s="77"/>
      <c r="J225" s="77"/>
    </row>
    <row r="226" s="5" customFormat="1">
      <c r="B226" s="77"/>
      <c r="J226" s="77"/>
    </row>
    <row r="227" s="5" customFormat="1">
      <c r="B227" s="77"/>
      <c r="J227" s="77"/>
    </row>
    <row r="228" s="5" customFormat="1">
      <c r="B228" s="77"/>
      <c r="J228" s="77"/>
    </row>
    <row r="229" s="5" customFormat="1">
      <c r="B229" s="77"/>
      <c r="J229" s="77"/>
    </row>
    <row r="230" s="5" customFormat="1">
      <c r="B230" s="77"/>
      <c r="J230" s="77"/>
    </row>
    <row r="231" s="5" customFormat="1">
      <c r="B231" s="77"/>
      <c r="J231" s="77"/>
    </row>
    <row r="232" s="5" customFormat="1">
      <c r="B232" s="77"/>
      <c r="J232" s="77"/>
    </row>
    <row r="233" s="5" customFormat="1">
      <c r="B233" s="77"/>
      <c r="J233" s="77"/>
    </row>
    <row r="234" s="5" customFormat="1">
      <c r="B234" s="77"/>
      <c r="J234" s="77"/>
    </row>
    <row r="235" s="5" customFormat="1">
      <c r="B235" s="77"/>
      <c r="J235" s="77"/>
    </row>
    <row r="236" s="5" customFormat="1">
      <c r="B236" s="77"/>
      <c r="J236" s="77"/>
    </row>
    <row r="237" s="5" customFormat="1">
      <c r="B237" s="77"/>
      <c r="J237" s="77"/>
    </row>
    <row r="238" s="5" customFormat="1">
      <c r="B238" s="77"/>
      <c r="J238" s="77"/>
    </row>
    <row r="239" s="5" customFormat="1">
      <c r="B239" s="77"/>
      <c r="J239" s="77"/>
    </row>
  </sheetData>
  <mergeCells count="422">
    <mergeCell ref="E8:H8"/>
    <mergeCell ref="E9:H9"/>
    <mergeCell ref="A10:A11"/>
    <mergeCell ref="E10:H10"/>
    <mergeCell ref="D10:D11"/>
    <mergeCell ref="C10:C11"/>
    <mergeCell ref="B10:B11"/>
    <mergeCell ref="C12:C13"/>
    <mergeCell ref="A12:A13"/>
    <mergeCell ref="E12:H12"/>
    <mergeCell ref="D12:D13"/>
    <mergeCell ref="D18:D19"/>
    <mergeCell ref="C18:C19"/>
    <mergeCell ref="A18:A19"/>
    <mergeCell ref="E18:H18"/>
    <mergeCell ref="B18:B19"/>
    <mergeCell ref="E20:H20"/>
    <mergeCell ref="A20:A21"/>
    <mergeCell ref="D20:D21"/>
    <mergeCell ref="C20:C21"/>
    <mergeCell ref="B20:B21"/>
    <mergeCell ref="B12:B13"/>
    <mergeCell ref="E14:H14"/>
    <mergeCell ref="D14:D15"/>
    <mergeCell ref="C14:C15"/>
    <mergeCell ref="A14:A15"/>
    <mergeCell ref="B14:B15"/>
    <mergeCell ref="E16:H16"/>
    <mergeCell ref="C16:C17"/>
    <mergeCell ref="B16:B17"/>
    <mergeCell ref="A16:A17"/>
    <mergeCell ref="D16:D17"/>
    <mergeCell ref="C22:C23"/>
    <mergeCell ref="D22:D23"/>
    <mergeCell ref="B22:B23"/>
    <mergeCell ref="E22:H22"/>
    <mergeCell ref="A22:A23"/>
    <mergeCell ref="C24:C25"/>
    <mergeCell ref="E24:H24"/>
    <mergeCell ref="D24:D25"/>
    <mergeCell ref="B24:B25"/>
    <mergeCell ref="A24:A25"/>
    <mergeCell ref="E26:H26"/>
    <mergeCell ref="D26:D27"/>
    <mergeCell ref="B26:B27"/>
    <mergeCell ref="C26:C27"/>
    <mergeCell ref="A26:A27"/>
    <mergeCell ref="A28:A29"/>
    <mergeCell ref="C28:C29"/>
    <mergeCell ref="E28:H28"/>
    <mergeCell ref="D28:D29"/>
    <mergeCell ref="B28:B29"/>
    <mergeCell ref="E30:H30"/>
    <mergeCell ref="D30:D31"/>
    <mergeCell ref="A30:A31"/>
    <mergeCell ref="C30:C31"/>
    <mergeCell ref="B30:B31"/>
    <mergeCell ref="B32:B33"/>
    <mergeCell ref="E32:H32"/>
    <mergeCell ref="C32:C33"/>
    <mergeCell ref="A32:A33"/>
    <mergeCell ref="D32:D33"/>
    <mergeCell ref="D34:D35"/>
    <mergeCell ref="B34:B35"/>
    <mergeCell ref="A34:A35"/>
    <mergeCell ref="E34:H34"/>
    <mergeCell ref="C34:C35"/>
    <mergeCell ref="D36:D37"/>
    <mergeCell ref="E36:H36"/>
    <mergeCell ref="C36:C37"/>
    <mergeCell ref="A36:A37"/>
    <mergeCell ref="B36:B37"/>
    <mergeCell ref="C38:C39"/>
    <mergeCell ref="A38:A39"/>
    <mergeCell ref="D38:D39"/>
    <mergeCell ref="B38:B39"/>
    <mergeCell ref="E38:H38"/>
    <mergeCell ref="B40:B41"/>
    <mergeCell ref="D40:D41"/>
    <mergeCell ref="A40:A41"/>
    <mergeCell ref="E40:H40"/>
    <mergeCell ref="C40:C41"/>
    <mergeCell ref="D42:D43"/>
    <mergeCell ref="B42:B43"/>
    <mergeCell ref="E42:H42"/>
    <mergeCell ref="A42:A43"/>
    <mergeCell ref="C42:C43"/>
    <mergeCell ref="C44:C45"/>
    <mergeCell ref="B44:B45"/>
    <mergeCell ref="D44:D45"/>
    <mergeCell ref="A44:A45"/>
    <mergeCell ref="E44:H44"/>
    <mergeCell ref="E46:H46"/>
    <mergeCell ref="B46:B47"/>
    <mergeCell ref="C46:C47"/>
    <mergeCell ref="A46:A47"/>
    <mergeCell ref="D46:D47"/>
    <mergeCell ref="C48:C49"/>
    <mergeCell ref="A48:A49"/>
    <mergeCell ref="E48:H48"/>
    <mergeCell ref="B48:B49"/>
    <mergeCell ref="D48:D49"/>
    <mergeCell ref="B50:B51"/>
    <mergeCell ref="A50:A51"/>
    <mergeCell ref="E50:H50"/>
    <mergeCell ref="D50:D51"/>
    <mergeCell ref="C50:C51"/>
    <mergeCell ref="B52:B53"/>
    <mergeCell ref="D52:D53"/>
    <mergeCell ref="A52:A53"/>
    <mergeCell ref="C52:C53"/>
    <mergeCell ref="E52:H52"/>
    <mergeCell ref="A54:A55"/>
    <mergeCell ref="D54:D55"/>
    <mergeCell ref="B54:B55"/>
    <mergeCell ref="E54:H54"/>
    <mergeCell ref="C54:C55"/>
    <mergeCell ref="D56:D57"/>
    <mergeCell ref="E56:H56"/>
    <mergeCell ref="B56:B57"/>
    <mergeCell ref="C56:C57"/>
    <mergeCell ref="A56:A57"/>
    <mergeCell ref="D58:D59"/>
    <mergeCell ref="C58:C59"/>
    <mergeCell ref="E58:H58"/>
    <mergeCell ref="B58:B59"/>
    <mergeCell ref="A58:A59"/>
    <mergeCell ref="C60:C61"/>
    <mergeCell ref="E60:H60"/>
    <mergeCell ref="A60:A61"/>
    <mergeCell ref="D60:D61"/>
    <mergeCell ref="B60:B61"/>
    <mergeCell ref="B62:B63"/>
    <mergeCell ref="C62:C63"/>
    <mergeCell ref="E62:H62"/>
    <mergeCell ref="A62:A63"/>
    <mergeCell ref="D62:D63"/>
    <mergeCell ref="E64:H64"/>
    <mergeCell ref="C64:C65"/>
    <mergeCell ref="D64:D65"/>
    <mergeCell ref="B64:B65"/>
    <mergeCell ref="A64:A65"/>
    <mergeCell ref="C66:C67"/>
    <mergeCell ref="B66:B67"/>
    <mergeCell ref="E66:H66"/>
    <mergeCell ref="D66:D67"/>
    <mergeCell ref="A66:A67"/>
    <mergeCell ref="D68:D69"/>
    <mergeCell ref="C68:C69"/>
    <mergeCell ref="B68:B69"/>
    <mergeCell ref="A68:A69"/>
    <mergeCell ref="E68:H68"/>
    <mergeCell ref="C70:C71"/>
    <mergeCell ref="E70:H70"/>
    <mergeCell ref="B70:B71"/>
    <mergeCell ref="D70:D71"/>
    <mergeCell ref="A70:A71"/>
    <mergeCell ref="E72:H72"/>
    <mergeCell ref="B72:B73"/>
    <mergeCell ref="A72:A73"/>
    <mergeCell ref="C72:C73"/>
    <mergeCell ref="D72:D73"/>
    <mergeCell ref="B74:B75"/>
    <mergeCell ref="C74:C75"/>
    <mergeCell ref="D74:D75"/>
    <mergeCell ref="A74:A75"/>
    <mergeCell ref="E74:H74"/>
    <mergeCell ref="E76:H76"/>
    <mergeCell ref="D76:D77"/>
    <mergeCell ref="C76:C77"/>
    <mergeCell ref="B76:B77"/>
    <mergeCell ref="A76:A77"/>
    <mergeCell ref="C78:C79"/>
    <mergeCell ref="B78:B79"/>
    <mergeCell ref="E78:H78"/>
    <mergeCell ref="A78:A79"/>
    <mergeCell ref="D78:D79"/>
    <mergeCell ref="D80:D81"/>
    <mergeCell ref="C80:C81"/>
    <mergeCell ref="E80:H80"/>
    <mergeCell ref="B80:B81"/>
    <mergeCell ref="A80:A81"/>
    <mergeCell ref="D82:D83"/>
    <mergeCell ref="E82:H82"/>
    <mergeCell ref="C82:C83"/>
    <mergeCell ref="A82:A83"/>
    <mergeCell ref="B82:B83"/>
    <mergeCell ref="C84:C85"/>
    <mergeCell ref="E84:H84"/>
    <mergeCell ref="B84:B85"/>
    <mergeCell ref="A84:A85"/>
    <mergeCell ref="D84:D85"/>
    <mergeCell ref="C86:C87"/>
    <mergeCell ref="B86:B87"/>
    <mergeCell ref="E86:H86"/>
    <mergeCell ref="A86:A87"/>
    <mergeCell ref="D86:D87"/>
    <mergeCell ref="A88:A89"/>
    <mergeCell ref="E88:H88"/>
    <mergeCell ref="C88:C89"/>
    <mergeCell ref="D88:D89"/>
    <mergeCell ref="B88:B89"/>
    <mergeCell ref="A90:A91"/>
    <mergeCell ref="E90:H90"/>
    <mergeCell ref="B90:B91"/>
    <mergeCell ref="C90:C91"/>
    <mergeCell ref="D90:D91"/>
    <mergeCell ref="D92:D93"/>
    <mergeCell ref="E92:H92"/>
    <mergeCell ref="A92:A93"/>
    <mergeCell ref="B92:B93"/>
    <mergeCell ref="C92:C93"/>
    <mergeCell ref="B94:B95"/>
    <mergeCell ref="E94:H94"/>
    <mergeCell ref="A94:A95"/>
    <mergeCell ref="C94:C95"/>
    <mergeCell ref="D94:D95"/>
    <mergeCell ref="C96:C97"/>
    <mergeCell ref="B96:B97"/>
    <mergeCell ref="E96:H96"/>
    <mergeCell ref="A96:A97"/>
    <mergeCell ref="D96:D97"/>
    <mergeCell ref="E98:H98"/>
    <mergeCell ref="A98:A99"/>
    <mergeCell ref="B98:B99"/>
    <mergeCell ref="C98:C99"/>
    <mergeCell ref="D98:D99"/>
    <mergeCell ref="E100:H100"/>
    <mergeCell ref="D100:D101"/>
    <mergeCell ref="A100:A101"/>
    <mergeCell ref="C100:C101"/>
    <mergeCell ref="B100:B101"/>
    <mergeCell ref="D102:D103"/>
    <mergeCell ref="E102:H102"/>
    <mergeCell ref="B102:B103"/>
    <mergeCell ref="C102:C103"/>
    <mergeCell ref="A102:A103"/>
    <mergeCell ref="B104:B105"/>
    <mergeCell ref="E104:H104"/>
    <mergeCell ref="C104:C105"/>
    <mergeCell ref="A104:A105"/>
    <mergeCell ref="D104:D105"/>
    <mergeCell ref="D106:D107"/>
    <mergeCell ref="E106:H106"/>
    <mergeCell ref="A106:A107"/>
    <mergeCell ref="C106:C107"/>
    <mergeCell ref="B106:B107"/>
    <mergeCell ref="B108:B109"/>
    <mergeCell ref="E108:H108"/>
    <mergeCell ref="C108:C109"/>
    <mergeCell ref="D108:D109"/>
    <mergeCell ref="A108:A109"/>
    <mergeCell ref="A110:A111"/>
    <mergeCell ref="B110:B111"/>
    <mergeCell ref="E110:H110"/>
    <mergeCell ref="D110:D111"/>
    <mergeCell ref="C110:C111"/>
    <mergeCell ref="E112:H112"/>
    <mergeCell ref="A112:A113"/>
    <mergeCell ref="D112:D113"/>
    <mergeCell ref="B112:B113"/>
    <mergeCell ref="C112:C113"/>
    <mergeCell ref="A114:A115"/>
    <mergeCell ref="C114:C115"/>
    <mergeCell ref="B114:B115"/>
    <mergeCell ref="E114:H114"/>
    <mergeCell ref="D114:D115"/>
    <mergeCell ref="D116:D117"/>
    <mergeCell ref="A116:A117"/>
    <mergeCell ref="C116:C117"/>
    <mergeCell ref="B116:B117"/>
    <mergeCell ref="E116:H116"/>
    <mergeCell ref="B118:B119"/>
    <mergeCell ref="E118:H118"/>
    <mergeCell ref="C118:C119"/>
    <mergeCell ref="A118:A119"/>
    <mergeCell ref="D118:D119"/>
    <mergeCell ref="E120:H120"/>
    <mergeCell ref="C120:C121"/>
    <mergeCell ref="B120:B121"/>
    <mergeCell ref="A120:A121"/>
    <mergeCell ref="D120:D121"/>
    <mergeCell ref="D122:D123"/>
    <mergeCell ref="A122:A123"/>
    <mergeCell ref="E122:H122"/>
    <mergeCell ref="B122:B123"/>
    <mergeCell ref="C122:C123"/>
    <mergeCell ref="A124:A125"/>
    <mergeCell ref="B124:B125"/>
    <mergeCell ref="E124:H124"/>
    <mergeCell ref="D124:D125"/>
    <mergeCell ref="C124:C125"/>
    <mergeCell ref="E126:H126"/>
    <mergeCell ref="A126:A127"/>
    <mergeCell ref="D126:D127"/>
    <mergeCell ref="B126:B127"/>
    <mergeCell ref="C126:C127"/>
    <mergeCell ref="D128:D129"/>
    <mergeCell ref="C128:C129"/>
    <mergeCell ref="B128:B129"/>
    <mergeCell ref="E128:H128"/>
    <mergeCell ref="A128:A129"/>
    <mergeCell ref="D130:D131"/>
    <mergeCell ref="C130:C131"/>
    <mergeCell ref="E130:H130"/>
    <mergeCell ref="A130:A131"/>
    <mergeCell ref="B130:B131"/>
    <mergeCell ref="A132:A133"/>
    <mergeCell ref="E132:H132"/>
    <mergeCell ref="D132:D133"/>
    <mergeCell ref="B132:B133"/>
    <mergeCell ref="C132:C133"/>
    <mergeCell ref="D134:D135"/>
    <mergeCell ref="A134:A135"/>
    <mergeCell ref="E134:H134"/>
    <mergeCell ref="C134:C135"/>
    <mergeCell ref="B134:B135"/>
    <mergeCell ref="D136:D137"/>
    <mergeCell ref="C138:C139"/>
    <mergeCell ref="B138:B139"/>
    <mergeCell ref="E138:H138"/>
    <mergeCell ref="D138:D139"/>
    <mergeCell ref="A138:A139"/>
    <mergeCell ref="E140:H140"/>
    <mergeCell ref="D140:D141"/>
    <mergeCell ref="A140:A141"/>
    <mergeCell ref="B140:B141"/>
    <mergeCell ref="C140:C141"/>
    <mergeCell ref="B142:B143"/>
    <mergeCell ref="E142:H142"/>
    <mergeCell ref="A142:A143"/>
    <mergeCell ref="D142:D143"/>
    <mergeCell ref="C142:C143"/>
    <mergeCell ref="B136:B137"/>
    <mergeCell ref="C136:C137"/>
    <mergeCell ref="E136:H136"/>
    <mergeCell ref="A136:A137"/>
    <mergeCell ref="B144:B145"/>
    <mergeCell ref="E144:H144"/>
    <mergeCell ref="D144:D145"/>
    <mergeCell ref="C144:C145"/>
    <mergeCell ref="A144:A145"/>
    <mergeCell ref="E146:H146"/>
    <mergeCell ref="D146:D147"/>
    <mergeCell ref="A146:A147"/>
    <mergeCell ref="C146:C147"/>
    <mergeCell ref="B146:B147"/>
    <mergeCell ref="D148:D149"/>
    <mergeCell ref="A148:A149"/>
    <mergeCell ref="C148:C149"/>
    <mergeCell ref="B148:B149"/>
    <mergeCell ref="E148:H148"/>
    <mergeCell ref="A150:A151"/>
    <mergeCell ref="E150:H150"/>
    <mergeCell ref="C150:C151"/>
    <mergeCell ref="B150:B151"/>
    <mergeCell ref="D150:D151"/>
    <mergeCell ref="A152:A153"/>
    <mergeCell ref="B152:B153"/>
    <mergeCell ref="D152:D153"/>
    <mergeCell ref="E152:H152"/>
    <mergeCell ref="C152:C153"/>
    <mergeCell ref="E154:H154"/>
    <mergeCell ref="B154:B155"/>
    <mergeCell ref="D154:D155"/>
    <mergeCell ref="A154:A155"/>
    <mergeCell ref="C154:C155"/>
    <mergeCell ref="D156:D157"/>
    <mergeCell ref="E156:H156"/>
    <mergeCell ref="A156:A157"/>
    <mergeCell ref="C156:C157"/>
    <mergeCell ref="B156:B157"/>
    <mergeCell ref="B158:B159"/>
    <mergeCell ref="C158:C159"/>
    <mergeCell ref="A158:A159"/>
    <mergeCell ref="D158:D159"/>
    <mergeCell ref="E158:H158"/>
    <mergeCell ref="E160:H160"/>
    <mergeCell ref="A160:A161"/>
    <mergeCell ref="C160:C161"/>
    <mergeCell ref="D160:D161"/>
    <mergeCell ref="B160:B161"/>
    <mergeCell ref="B162:B163"/>
    <mergeCell ref="C162:C163"/>
    <mergeCell ref="E162:H162"/>
    <mergeCell ref="A162:A163"/>
    <mergeCell ref="D162:D163"/>
    <mergeCell ref="D164:D165"/>
    <mergeCell ref="E164:H164"/>
    <mergeCell ref="C164:C165"/>
    <mergeCell ref="A164:A165"/>
    <mergeCell ref="B164:B165"/>
    <mergeCell ref="E166:H166"/>
    <mergeCell ref="C166:C167"/>
    <mergeCell ref="D166:D167"/>
    <mergeCell ref="A166:A167"/>
    <mergeCell ref="B166:B167"/>
    <mergeCell ref="C168:C169"/>
    <mergeCell ref="B168:B169"/>
    <mergeCell ref="E168:H168"/>
    <mergeCell ref="A168:A169"/>
    <mergeCell ref="D168:D169"/>
    <mergeCell ref="D170:D171"/>
    <mergeCell ref="E170:H170"/>
    <mergeCell ref="A170:A171"/>
    <mergeCell ref="C170:C171"/>
    <mergeCell ref="B170:B171"/>
    <mergeCell ref="B172:B173"/>
    <mergeCell ref="C172:C173"/>
    <mergeCell ref="A172:A173"/>
    <mergeCell ref="E172:H172"/>
    <mergeCell ref="D172:D173"/>
    <mergeCell ref="E174:H174"/>
    <mergeCell ref="B174:B175"/>
    <mergeCell ref="C174:C175"/>
    <mergeCell ref="D174:D175"/>
    <mergeCell ref="A174:A175"/>
    <mergeCell ref="B176:B177"/>
    <mergeCell ref="D176:D177"/>
    <mergeCell ref="C176:C177"/>
    <mergeCell ref="E176:H176"/>
    <mergeCell ref="A176:A177"/>
  </mergeCells>
  <conditionalFormatting sqref="F177:H177">
    <cfRule priority="3" dxfId="0" type="cellIs" operator="equal">
      <formula>1</formula>
    </cfRule>
  </conditionalFormatting>
  <conditionalFormatting sqref="F175:H175">
    <cfRule priority="5" dxfId="0" type="cellIs" operator="equal">
      <formula>1</formula>
    </cfRule>
  </conditionalFormatting>
  <conditionalFormatting sqref="F173:H173">
    <cfRule priority="6" dxfId="0" type="cellIs" operator="equal">
      <formula>1</formula>
    </cfRule>
  </conditionalFormatting>
  <conditionalFormatting sqref="F171:H171">
    <cfRule priority="8" dxfId="0" type="cellIs" operator="equal">
      <formula>1</formula>
    </cfRule>
  </conditionalFormatting>
  <conditionalFormatting sqref="F169:H169">
    <cfRule priority="10" dxfId="0" type="cellIs" operator="equal">
      <formula>1</formula>
    </cfRule>
  </conditionalFormatting>
  <conditionalFormatting sqref="F167:H167">
    <cfRule priority="11" dxfId="0" type="cellIs" operator="equal">
      <formula>1</formula>
    </cfRule>
  </conditionalFormatting>
  <conditionalFormatting sqref="F165:H165">
    <cfRule priority="12" dxfId="0" type="cellIs" operator="equal">
      <formula>1</formula>
    </cfRule>
  </conditionalFormatting>
  <conditionalFormatting sqref="F163:H163">
    <cfRule priority="14" dxfId="0" type="cellIs" operator="equal">
      <formula>1</formula>
    </cfRule>
  </conditionalFormatting>
  <conditionalFormatting sqref="F161:H161">
    <cfRule priority="15" dxfId="0" type="cellIs" operator="equal">
      <formula>1</formula>
    </cfRule>
  </conditionalFormatting>
  <conditionalFormatting sqref="F159:H159">
    <cfRule priority="16" dxfId="0" type="cellIs" operator="equal">
      <formula>1</formula>
    </cfRule>
  </conditionalFormatting>
  <conditionalFormatting sqref="F157:H157">
    <cfRule priority="19" dxfId="0" type="cellIs" operator="equal">
      <formula>1</formula>
    </cfRule>
  </conditionalFormatting>
  <conditionalFormatting sqref="F155:H155">
    <cfRule priority="20" dxfId="0" type="cellIs" operator="equal">
      <formula>1</formula>
    </cfRule>
  </conditionalFormatting>
  <conditionalFormatting sqref="F153:H153">
    <cfRule priority="22" dxfId="0" type="cellIs" operator="equal">
      <formula>1</formula>
    </cfRule>
  </conditionalFormatting>
  <conditionalFormatting sqref="F151:H151">
    <cfRule priority="23" dxfId="0" type="cellIs" operator="equal">
      <formula>1</formula>
    </cfRule>
  </conditionalFormatting>
  <conditionalFormatting sqref="F149:H149">
    <cfRule priority="24" dxfId="0" type="cellIs" operator="equal">
      <formula>1</formula>
    </cfRule>
  </conditionalFormatting>
  <conditionalFormatting sqref="F147:H147">
    <cfRule priority="25" dxfId="0" type="cellIs" operator="equal">
      <formula>1</formula>
    </cfRule>
  </conditionalFormatting>
  <conditionalFormatting sqref="F145:H145">
    <cfRule priority="26" dxfId="0" type="cellIs" operator="equal">
      <formula>1</formula>
    </cfRule>
  </conditionalFormatting>
  <conditionalFormatting sqref="F143:H143">
    <cfRule priority="27" dxfId="0" type="cellIs" operator="equal">
      <formula>1</formula>
    </cfRule>
  </conditionalFormatting>
  <conditionalFormatting sqref="F141:H141">
    <cfRule priority="28" dxfId="0" type="cellIs" operator="equal">
      <formula>1</formula>
    </cfRule>
  </conditionalFormatting>
  <conditionalFormatting sqref="F139:H139">
    <cfRule priority="29" dxfId="0" type="cellIs" operator="equal">
      <formula>1</formula>
    </cfRule>
  </conditionalFormatting>
  <conditionalFormatting sqref="F137:H137 F127:H127 F129:H129 F131:H131 F133:H133 F135:H135">
    <cfRule priority="30" dxfId="0" type="cellIs" operator="equal">
      <formula>1</formula>
    </cfRule>
  </conditionalFormatting>
  <conditionalFormatting sqref="I14:L145">
    <cfRule priority="31" dxfId="0" type="cellIs" operator="equal">
      <formula>1</formula>
    </cfRule>
  </conditionalFormatting>
  <conditionalFormatting sqref="F109:H109 F111:H111 F113:H113 F115:H115 F117:H117 F119:H119 F121:H121 F123:H123 F125:H125">
    <cfRule priority="32" dxfId="0" type="cellIs" operator="equal">
      <formula>1</formula>
    </cfRule>
  </conditionalFormatting>
  <conditionalFormatting sqref="F95:H95 F97:H97 F99:H99 F101:H101 F103:H103 F105:H105 F107:H107">
    <cfRule priority="33" dxfId="0" type="cellIs" operator="equal">
      <formula>1</formula>
    </cfRule>
  </conditionalFormatting>
  <conditionalFormatting sqref="F17:H17 F19:H19 F21:H21 F23:H23 F25:H25 F27:H27 F29:H29 F31:H31 F33:H33 F35:H35 F37:H37 F39:H39 F41:H41 F43:H43 F45:H45 F47:H47 F49:H49 F51:H51 F53:H53 F55:H55 F57:H57 F59:H59 F61:H61 F63:H63 F65:H65 F67:H67 F69:H69 F71:H71 F73:H73 F75:H75 F77:H77 F79:H79 F81:H81 F83:H83 F85:H85 F87:H87 F89:H89 F91:H91 F93:H93">
    <cfRule priority="34" dxfId="0" type="cellIs" operator="equal">
      <formula>1</formula>
    </cfRule>
  </conditionalFormatting>
  <conditionalFormatting sqref="F15:H15">
    <cfRule priority="35" dxfId="0" type="cellIs" operator="equal">
      <formula>1</formula>
    </cfRule>
  </conditionalFormatting>
  <conditionalFormatting sqref="F13:H13">
    <cfRule priority="36" dxfId="0" type="cellIs" operator="equal">
      <formula>1</formula>
    </cfRule>
  </conditionalFormatting>
  <conditionalFormatting sqref="I10:L11">
    <cfRule priority="37" dxfId="0" type="cellIs" operator="equal">
      <formula>1</formula>
    </cfRule>
  </conditionalFormatting>
  <pageSetup r:id="rId1" orientation="portrait" scale="48"/>
  <drawing r:id="rId2"/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Miguel Alejandro Medellin</dc:creator>
  <cp:lastModifiedBy>LAPTOP-HBHSUR20\FP</cp:lastModifiedBy>
  <cp:lastPrinted>2026-04-24T15:03:50Z</cp:lastPrinted>
  <dcterms:created xsi:type="dcterms:W3CDTF">2023-11-09T15:17:52Z</dcterms:created>
  <dcterms:modified xsi:type="dcterms:W3CDTF">2026-05-25T02:42:56Z</dcterms:modified>
</cp:coreProperties>
</file>